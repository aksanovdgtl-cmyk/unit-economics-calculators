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a40bd77fa4db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Инструкция" sheetId="1" r:id="R619be8f980e44b37"/>
    <sheet xmlns:r="http://schemas.openxmlformats.org/officeDocument/2006/relationships" name="Вводные" sheetId="2" r:id="R7a5a82ca29c1427f"/>
    <sheet xmlns:r="http://schemas.openxmlformats.org/officeDocument/2006/relationships" name="Юнит-экономика" sheetId="3" r:id="R3b2c969a67c943a3"/>
    <sheet xmlns:r="http://schemas.openxmlformats.org/officeDocument/2006/relationships" name="Сценарии" sheetId="4" r:id="R1e0e9d9d50924c43"/>
    <sheet xmlns:r="http://schemas.openxmlformats.org/officeDocument/2006/relationships" name="Помесячный прогноз" sheetId="5" r:id="R70feb9cf6a3f41d2"/>
    <sheet xmlns:r="http://schemas.openxmlformats.org/officeDocument/2006/relationships" name="Справка" sheetId="6" r:id="R1378a913961a480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#,##0.00"/>
    <numFmt numFmtId="201" formatCode="0.0%"/>
    <numFmt numFmtId="202" formatCode="#,##0"/>
    <numFmt numFmtId="203" formatCode="0.00x"/>
  </numFmts>
  <fonts count="7">
    <font>
      <sz val="11"/>
      <name val="Carlito"/>
    </font>
    <font>
      <sz val="11"/>
      <color rgb="FF202124"/>
      <name val="Aptos"/>
    </font>
    <font>
      <b/>
      <sz val="20"/>
      <color rgb="FFFFFFFF"/>
      <name val="Aptos Display"/>
    </font>
    <font>
      <sz val="10"/>
      <color rgb="FF60646C"/>
      <name val="Aptos"/>
    </font>
    <font>
      <b/>
      <sz val="11"/>
      <color rgb="FFF29B4B"/>
      <name val="Aptos"/>
    </font>
    <font>
      <b/>
      <sz val="11"/>
      <color rgb="FF202124"/>
      <name val="Aptos"/>
    </font>
    <font>
      <b/>
      <sz val="10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F29B4B"/>
      </patternFill>
    </fill>
    <fill>
      <patternFill patternType="solid">
        <fgColor rgb="FFFCFCFC"/>
      </patternFill>
    </fill>
    <fill>
      <patternFill patternType="solid">
        <fgColor rgb="FFF4F6F8"/>
      </patternFill>
    </fill>
    <fill>
      <patternFill patternType="solid">
        <fgColor rgb="FFFFF3C4"/>
      </patternFill>
    </fill>
    <fill>
      <patternFill patternType="solid">
        <fgColor rgb="FFEAF0FF"/>
      </patternFill>
    </fill>
  </fills>
  <borders count="36">
    <border/>
    <border>
      <bottom style="medium">
        <color rgb="FFF29B4B"/>
      </bottom>
    </border>
    <border>
      <bottom style="thin">
        <color rgb="FFDDE2E8"/>
      </bottom>
    </border>
    <border>
      <left style="thin">
        <color rgb="FFDDE2E8"/>
      </left>
      <top style="thin">
        <color rgb="FFDDE2E8"/>
      </top>
    </border>
    <border>
      <top style="thin">
        <color rgb="FFDDE2E8"/>
      </top>
    </border>
    <border>
      <right style="thin">
        <color rgb="FFDDE2E8"/>
      </right>
      <top style="thin">
        <color rgb="FFDDE2E8"/>
      </top>
    </border>
    <border>
      <left style="thin">
        <color rgb="FFDDE2E8"/>
      </left>
    </border>
    <border>
      <right style="thin">
        <color rgb="FFDDE2E8"/>
      </right>
    </border>
    <border>
      <left style="thin">
        <color rgb="FFDDE2E8"/>
      </left>
      <bottom style="thin">
        <color rgb="FFDDE2E8"/>
      </bottom>
    </border>
    <border>
      <right style="thin">
        <color rgb="FFDDE2E8"/>
      </right>
      <bottom style="thin">
        <color rgb="FFDDE2E8"/>
      </bottom>
    </border>
    <border>
      <left style="thin">
        <color rgb="FFD6B84B"/>
      </left>
      <right style="thin">
        <color rgb="FFD6B84B"/>
      </right>
      <top style="thin">
        <color rgb="FFD6B84B"/>
      </top>
    </border>
    <border>
      <left style="thin">
        <color rgb="FFD6B84B"/>
      </left>
      <right style="thin">
        <color rgb="FFD6B84B"/>
      </right>
    </border>
    <border>
      <left style="thin">
        <color rgb="FFD6B84B"/>
      </left>
      <right style="thin">
        <color rgb="FFD6B84B"/>
      </right>
      <bottom style="thin">
        <color rgb="FFD6B84B"/>
      </bottom>
    </border>
    <border>
      <left style="thin">
        <color rgb="FFD6B84B"/>
      </left>
      <right style="thin">
        <color rgb="FFD6B84B"/>
      </right>
      <bottom style="thin">
        <color rgb="FFDDE2E8"/>
      </bottom>
    </border>
    <border>
      <left style="thin">
        <color rgb="FF9CB2FF"/>
      </left>
      <right style="thin">
        <color rgb="FF9CB2FF"/>
      </right>
      <top style="thin">
        <color rgb="FF9CB2FF"/>
      </top>
    </border>
    <border>
      <left style="thin">
        <color rgb="FF9CB2FF"/>
      </left>
      <right style="thin">
        <color rgb="FF9CB2FF"/>
      </right>
    </border>
    <border>
      <left style="thin">
        <color rgb="FF9CB2FF"/>
      </left>
      <right style="thin">
        <color rgb="FF9CB2FF"/>
      </right>
      <bottom style="thin">
        <color rgb="FF9CB2FF"/>
      </bottom>
    </border>
    <border>
      <left style="thin">
        <color rgb="FF9CB2FF"/>
      </left>
      <right style="thin">
        <color rgb="FF9CB2FF"/>
      </right>
      <bottom style="thin">
        <color rgb="FFDDE2E8"/>
      </bottom>
    </border>
    <border>
      <left style="thin">
        <color rgb="FFD6B84B"/>
      </left>
      <top style="thin">
        <color rgb="FFD6B84B"/>
      </top>
    </border>
    <border>
      <top style="thin">
        <color rgb="FFD6B84B"/>
      </top>
    </border>
    <border>
      <right style="thin">
        <color rgb="FFD6B84B"/>
      </right>
      <top style="thin">
        <color rgb="FFD6B84B"/>
      </top>
    </border>
    <border>
      <left style="thin">
        <color rgb="FFD6B84B"/>
      </left>
    </border>
    <border>
      <right style="thin">
        <color rgb="FFD6B84B"/>
      </right>
    </border>
    <border>
      <left style="thin">
        <color rgb="FFD6B84B"/>
      </left>
      <bottom style="thin">
        <color rgb="FFD6B84B"/>
      </bottom>
    </border>
    <border>
      <bottom style="thin">
        <color rgb="FFD6B84B"/>
      </bottom>
    </border>
    <border>
      <right style="thin">
        <color rgb="FFD6B84B"/>
      </right>
      <bottom style="thin">
        <color rgb="FFD6B84B"/>
      </bottom>
    </border>
    <border>
      <left style="thin">
        <color rgb="FF9CB2FF"/>
      </left>
      <top style="thin">
        <color rgb="FF9CB2FF"/>
      </top>
    </border>
    <border>
      <top style="thin">
        <color rgb="FF9CB2FF"/>
      </top>
    </border>
    <border>
      <right style="thin">
        <color rgb="FF9CB2FF"/>
      </right>
      <top style="thin">
        <color rgb="FF9CB2FF"/>
      </top>
    </border>
    <border>
      <left style="thin">
        <color rgb="FF9CB2FF"/>
      </left>
    </border>
    <border>
      <right style="thin">
        <color rgb="FF9CB2FF"/>
      </right>
    </border>
    <border>
      <left style="thin">
        <color rgb="FF9CB2FF"/>
      </left>
      <bottom style="thin">
        <color rgb="FF9CB2FF"/>
      </bottom>
    </border>
    <border>
      <bottom style="thin">
        <color rgb="FF9CB2FF"/>
      </bottom>
    </border>
    <border>
      <right style="thin">
        <color rgb="FF9CB2FF"/>
      </right>
      <bottom style="thin">
        <color rgb="FF9CB2FF"/>
      </bottom>
    </border>
    <border>
      <left style="thin">
        <color rgb="FFD6B84B"/>
      </left>
      <bottom style="thin">
        <color rgb="FFDDE2E8"/>
      </bottom>
    </border>
    <border>
      <left style="thin">
        <color rgb="FF9CB2FF"/>
      </left>
      <bottom style="thin">
        <color rgb="FFDDE2E8"/>
      </bottom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8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9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3" fillId="4" borderId="7" xfId="0" applyNumberFormat="1" applyFont="1" applyFill="1" applyBorder="1" applyAlignment="1">
      <alignment vertical="center" wrapText="1"/>
    </xf>
    <xf numFmtId="0" fontId="3" fillId="4" borderId="8" xfId="0" applyNumberFormat="1" applyFont="1" applyFill="1" applyBorder="1" applyAlignment="1">
      <alignment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3" fillId="4" borderId="9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5" borderId="10" xfId="0" applyNumberFormat="1" applyFont="1" applyFill="1" applyBorder="1" applyAlignment="1">
      <alignment vertical="center"/>
    </xf>
    <xf numFmtId="0" fontId="5" fillId="5" borderId="11" xfId="0" applyNumberFormat="1" applyFont="1" applyFill="1" applyBorder="1" applyAlignment="1">
      <alignment vertical="center"/>
    </xf>
    <xf numFmtId="0" fontId="5" fillId="5" borderId="12" xfId="0" applyNumberFormat="1" applyFont="1" applyFill="1" applyBorder="1" applyAlignment="1">
      <alignment vertical="center"/>
    </xf>
    <xf numFmtId="200" fontId="5" fillId="5" borderId="11" xfId="0" applyNumberFormat="1" applyFont="1" applyFill="1" applyBorder="1" applyAlignment="1">
      <alignment vertical="center"/>
    </xf>
    <xf numFmtId="201" fontId="5" fillId="5" borderId="11" xfId="0" applyNumberFormat="1" applyFont="1" applyFill="1" applyBorder="1" applyAlignment="1">
      <alignment vertical="center"/>
    </xf>
    <xf numFmtId="202" fontId="5" fillId="5" borderId="11" xfId="0" applyNumberFormat="1" applyFont="1" applyFill="1" applyBorder="1" applyAlignment="1">
      <alignment vertical="center"/>
    </xf>
    <xf numFmtId="201" fontId="5" fillId="5" borderId="12" xfId="0" applyNumberFormat="1" applyFont="1" applyFill="1" applyBorder="1" applyAlignment="1">
      <alignment vertical="center"/>
    </xf>
    <xf numFmtId="201" fontId="5" fillId="5" borderId="1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4" fillId="6" borderId="14" xfId="0" applyNumberFormat="1" applyFont="1" applyFill="1" applyBorder="1" applyAlignment="1">
      <alignment vertical="center"/>
    </xf>
    <xf numFmtId="0" fontId="4" fillId="6" borderId="15" xfId="0" applyNumberFormat="1" applyFont="1" applyFill="1" applyBorder="1" applyAlignment="1">
      <alignment vertical="center"/>
    </xf>
    <xf numFmtId="0" fontId="4" fillId="6" borderId="16" xfId="0" applyNumberFormat="1" applyFont="1" applyFill="1" applyBorder="1" applyAlignment="1">
      <alignment vertical="center"/>
    </xf>
    <xf numFmtId="202" fontId="4" fillId="6" borderId="14" xfId="0" applyNumberFormat="1" applyFont="1" applyFill="1" applyBorder="1" applyAlignment="1">
      <alignment vertical="center"/>
    </xf>
    <xf numFmtId="202" fontId="4" fillId="6" borderId="15" xfId="0" applyNumberFormat="1" applyFont="1" applyFill="1" applyBorder="1" applyAlignment="1">
      <alignment vertical="center"/>
    </xf>
    <xf numFmtId="201" fontId="4" fillId="6" borderId="15" xfId="0" applyNumberFormat="1" applyFont="1" applyFill="1" applyBorder="1" applyAlignment="1">
      <alignment vertical="center"/>
    </xf>
    <xf numFmtId="203" fontId="4" fillId="6" borderId="15" xfId="0" applyNumberFormat="1" applyFont="1" applyFill="1" applyBorder="1" applyAlignment="1">
      <alignment vertical="center"/>
    </xf>
    <xf numFmtId="202" fontId="4" fillId="6" borderId="16" xfId="0" applyNumberFormat="1" applyFont="1" applyFill="1" applyBorder="1" applyAlignment="1">
      <alignment vertical="center"/>
    </xf>
    <xf numFmtId="202" fontId="4" fillId="6" borderId="17" xfId="0" applyNumberFormat="1" applyFont="1" applyFill="1" applyBorder="1" applyAlignment="1">
      <alignment vertical="center"/>
    </xf>
    <xf numFmtId="0" fontId="5" fillId="5" borderId="18" xfId="0" applyNumberFormat="1" applyFont="1" applyFill="1" applyBorder="1" applyAlignment="1">
      <alignment vertical="center"/>
    </xf>
    <xf numFmtId="0" fontId="5" fillId="5" borderId="19" xfId="0" applyNumberFormat="1" applyFont="1" applyFill="1" applyBorder="1" applyAlignment="1">
      <alignment vertical="center"/>
    </xf>
    <xf numFmtId="0" fontId="5" fillId="5" borderId="20" xfId="0" applyNumberFormat="1" applyFont="1" applyFill="1" applyBorder="1" applyAlignment="1">
      <alignment vertical="center"/>
    </xf>
    <xf numFmtId="0" fontId="5" fillId="5" borderId="21" xfId="0" applyNumberFormat="1" applyFont="1" applyFill="1" applyBorder="1" applyAlignment="1">
      <alignment vertical="center"/>
    </xf>
    <xf numFmtId="0" fontId="5" fillId="5" borderId="22" xfId="0" applyNumberFormat="1" applyFont="1" applyFill="1" applyBorder="1" applyAlignment="1">
      <alignment vertical="center"/>
    </xf>
    <xf numFmtId="0" fontId="5" fillId="5" borderId="23" xfId="0" applyNumberFormat="1" applyFont="1" applyFill="1" applyBorder="1" applyAlignment="1">
      <alignment vertical="center"/>
    </xf>
    <xf numFmtId="0" fontId="5" fillId="5" borderId="24" xfId="0" applyNumberFormat="1" applyFont="1" applyFill="1" applyBorder="1" applyAlignment="1">
      <alignment vertical="center"/>
    </xf>
    <xf numFmtId="0" fontId="5" fillId="5" borderId="25" xfId="0" applyNumberFormat="1" applyFont="1" applyFill="1" applyBorder="1" applyAlignment="1">
      <alignment vertical="center"/>
    </xf>
    <xf numFmtId="203" fontId="5" fillId="5" borderId="18" xfId="0" applyNumberFormat="1" applyFont="1" applyFill="1" applyBorder="1" applyAlignment="1">
      <alignment vertical="center"/>
    </xf>
    <xf numFmtId="203" fontId="5" fillId="5" borderId="19" xfId="0" applyNumberFormat="1" applyFont="1" applyFill="1" applyBorder="1" applyAlignment="1">
      <alignment vertical="center"/>
    </xf>
    <xf numFmtId="203" fontId="5" fillId="5" borderId="20" xfId="0" applyNumberFormat="1" applyFont="1" applyFill="1" applyBorder="1" applyAlignment="1">
      <alignment vertical="center"/>
    </xf>
    <xf numFmtId="203" fontId="5" fillId="5" borderId="21" xfId="0" applyNumberFormat="1" applyFont="1" applyFill="1" applyBorder="1" applyAlignment="1">
      <alignment vertical="center"/>
    </xf>
    <xf numFmtId="203" fontId="5" fillId="5" borderId="0" xfId="0" applyNumberFormat="1" applyFont="1" applyFill="1" applyBorder="1" applyAlignment="1">
      <alignment vertical="center"/>
    </xf>
    <xf numFmtId="203" fontId="5" fillId="5" borderId="22" xfId="0" applyNumberFormat="1" applyFont="1" applyFill="1" applyBorder="1" applyAlignment="1">
      <alignment vertical="center"/>
    </xf>
    <xf numFmtId="201" fontId="5" fillId="5" borderId="21" xfId="0" applyNumberFormat="1" applyFont="1" applyFill="1" applyBorder="1" applyAlignment="1">
      <alignment vertical="center"/>
    </xf>
    <xf numFmtId="201" fontId="5" fillId="5" borderId="0" xfId="0" applyNumberFormat="1" applyFont="1" applyFill="1" applyBorder="1" applyAlignment="1">
      <alignment vertical="center"/>
    </xf>
    <xf numFmtId="201" fontId="5" fillId="5" borderId="22" xfId="0" applyNumberFormat="1" applyFont="1" applyFill="1" applyBorder="1" applyAlignment="1">
      <alignment vertical="center"/>
    </xf>
    <xf numFmtId="203" fontId="5" fillId="5" borderId="23" xfId="0" applyNumberFormat="1" applyFont="1" applyFill="1" applyBorder="1" applyAlignment="1">
      <alignment vertical="center"/>
    </xf>
    <xf numFmtId="203" fontId="5" fillId="5" borderId="24" xfId="0" applyNumberFormat="1" applyFont="1" applyFill="1" applyBorder="1" applyAlignment="1">
      <alignment vertical="center"/>
    </xf>
    <xf numFmtId="203" fontId="5" fillId="5" borderId="25" xfId="0" applyNumberFormat="1" applyFont="1" applyFill="1" applyBorder="1" applyAlignment="1">
      <alignment vertical="center"/>
    </xf>
    <xf numFmtId="0" fontId="4" fillId="6" borderId="26" xfId="0" applyNumberFormat="1" applyFont="1" applyFill="1" applyBorder="1" applyAlignment="1">
      <alignment vertical="center"/>
    </xf>
    <xf numFmtId="0" fontId="4" fillId="6" borderId="27" xfId="0" applyNumberFormat="1" applyFont="1" applyFill="1" applyBorder="1" applyAlignment="1">
      <alignment vertical="center"/>
    </xf>
    <xf numFmtId="0" fontId="4" fillId="6" borderId="28" xfId="0" applyNumberFormat="1" applyFont="1" applyFill="1" applyBorder="1" applyAlignment="1">
      <alignment vertical="center"/>
    </xf>
    <xf numFmtId="0" fontId="4" fillId="6" borderId="29" xfId="0" applyNumberFormat="1" applyFont="1" applyFill="1" applyBorder="1" applyAlignment="1">
      <alignment vertical="center"/>
    </xf>
    <xf numFmtId="0" fontId="4" fillId="6" borderId="30" xfId="0" applyNumberFormat="1" applyFont="1" applyFill="1" applyBorder="1" applyAlignment="1">
      <alignment vertical="center"/>
    </xf>
    <xf numFmtId="0" fontId="4" fillId="6" borderId="31" xfId="0" applyNumberFormat="1" applyFont="1" applyFill="1" applyBorder="1" applyAlignment="1">
      <alignment vertical="center"/>
    </xf>
    <xf numFmtId="0" fontId="4" fillId="6" borderId="32" xfId="0" applyNumberFormat="1" applyFont="1" applyFill="1" applyBorder="1" applyAlignment="1">
      <alignment vertical="center"/>
    </xf>
    <xf numFmtId="0" fontId="4" fillId="6" borderId="33" xfId="0" applyNumberFormat="1" applyFont="1" applyFill="1" applyBorder="1" applyAlignment="1">
      <alignment vertical="center"/>
    </xf>
    <xf numFmtId="202" fontId="4" fillId="6" borderId="26" xfId="0" applyNumberFormat="1" applyFont="1" applyFill="1" applyBorder="1" applyAlignment="1">
      <alignment vertical="center"/>
    </xf>
    <xf numFmtId="202" fontId="4" fillId="6" borderId="27" xfId="0" applyNumberFormat="1" applyFont="1" applyFill="1" applyBorder="1" applyAlignment="1">
      <alignment vertical="center"/>
    </xf>
    <xf numFmtId="202" fontId="4" fillId="6" borderId="28" xfId="0" applyNumberFormat="1" applyFont="1" applyFill="1" applyBorder="1" applyAlignment="1">
      <alignment vertical="center"/>
    </xf>
    <xf numFmtId="202" fontId="4" fillId="6" borderId="29" xfId="0" applyNumberFormat="1" applyFont="1" applyFill="1" applyBorder="1" applyAlignment="1">
      <alignment vertical="center"/>
    </xf>
    <xf numFmtId="202" fontId="4" fillId="6" borderId="0" xfId="0" applyNumberFormat="1" applyFont="1" applyFill="1" applyBorder="1" applyAlignment="1">
      <alignment vertical="center"/>
    </xf>
    <xf numFmtId="202" fontId="4" fillId="6" borderId="30" xfId="0" applyNumberFormat="1" applyFont="1" applyFill="1" applyBorder="1" applyAlignment="1">
      <alignment vertical="center"/>
    </xf>
    <xf numFmtId="201" fontId="4" fillId="6" borderId="29" xfId="0" applyNumberFormat="1" applyFont="1" applyFill="1" applyBorder="1" applyAlignment="1">
      <alignment vertical="center"/>
    </xf>
    <xf numFmtId="201" fontId="4" fillId="6" borderId="0" xfId="0" applyNumberFormat="1" applyFont="1" applyFill="1" applyBorder="1" applyAlignment="1">
      <alignment vertical="center"/>
    </xf>
    <xf numFmtId="201" fontId="4" fillId="6" borderId="30" xfId="0" applyNumberFormat="1" applyFont="1" applyFill="1" applyBorder="1" applyAlignment="1">
      <alignment vertical="center"/>
    </xf>
    <xf numFmtId="203" fontId="4" fillId="6" borderId="31" xfId="0" applyNumberFormat="1" applyFont="1" applyFill="1" applyBorder="1" applyAlignment="1">
      <alignment vertical="center"/>
    </xf>
    <xf numFmtId="203" fontId="4" fillId="6" borderId="32" xfId="0" applyNumberFormat="1" applyFont="1" applyFill="1" applyBorder="1" applyAlignment="1">
      <alignment vertical="center"/>
    </xf>
    <xf numFmtId="203" fontId="4" fillId="6" borderId="33" xfId="0" applyNumberFormat="1" applyFont="1" applyFill="1" applyBorder="1" applyAlignment="1">
      <alignment vertical="center"/>
    </xf>
    <xf numFmtId="203" fontId="5" fillId="5" borderId="34" xfId="0" applyNumberFormat="1" applyFont="1" applyFill="1" applyBorder="1" applyAlignment="1">
      <alignment vertical="center"/>
    </xf>
    <xf numFmtId="203" fontId="5" fillId="5" borderId="2" xfId="0" applyNumberFormat="1" applyFont="1" applyFill="1" applyBorder="1" applyAlignment="1">
      <alignment vertical="center"/>
    </xf>
    <xf numFmtId="203" fontId="4" fillId="6" borderId="35" xfId="0" applyNumberFormat="1" applyFont="1" applyFill="1" applyBorder="1" applyAlignment="1">
      <alignment vertical="center"/>
    </xf>
    <xf numFmtId="203" fontId="4" fillId="6" borderId="2" xfId="0" applyNumberFormat="1" applyFont="1" applyFill="1" applyBorder="1" applyAlignment="1">
      <alignment vertical="center"/>
    </xf>
    <xf numFmtId="202" fontId="4" fillId="6" borderId="31" xfId="0" applyNumberFormat="1" applyFont="1" applyFill="1" applyBorder="1" applyAlignment="1">
      <alignment vertical="center"/>
    </xf>
    <xf numFmtId="202" fontId="4" fillId="6" borderId="32" xfId="0" applyNumberFormat="1" applyFont="1" applyFill="1" applyBorder="1" applyAlignment="1">
      <alignment vertical="center"/>
    </xf>
    <xf numFmtId="201" fontId="4" fillId="6" borderId="27" xfId="0" applyNumberFormat="1" applyFont="1" applyFill="1" applyBorder="1" applyAlignment="1">
      <alignment vertical="center"/>
    </xf>
    <xf numFmtId="201" fontId="4" fillId="6" borderId="32" xfId="0" applyNumberFormat="1" applyFont="1" applyFill="1" applyBorder="1" applyAlignment="1">
      <alignment vertical="center"/>
    </xf>
    <xf numFmtId="202" fontId="4" fillId="6" borderId="33" xfId="0" applyNumberFormat="1" applyFont="1" applyFill="1" applyBorder="1" applyAlignment="1">
      <alignment vertical="center"/>
    </xf>
    <xf numFmtId="202" fontId="4" fillId="6" borderId="35" xfId="0" applyNumberFormat="1" applyFont="1" applyFill="1" applyBorder="1" applyAlignment="1">
      <alignment vertical="center"/>
    </xf>
    <xf numFmtId="202" fontId="4" fillId="6" borderId="2" xfId="0" applyNumberFormat="1" applyFont="1" applyFill="1" applyBorder="1" applyAlignment="1">
      <alignment vertical="center"/>
    </xf>
    <xf numFmtId="201" fontId="4" fillId="6" borderId="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cc04528394f9c" /><Relationship Type="http://schemas.openxmlformats.org/officeDocument/2006/relationships/theme" Target="/xl/theme/theme1.xml" Id="R10faf76e66bc4446" /><Relationship Type="http://schemas.openxmlformats.org/officeDocument/2006/relationships/sharedStrings" Target="/xl/sharedStrings.xml" Id="R38643bf9601c4872" /><Relationship Type="http://schemas.openxmlformats.org/officeDocument/2006/relationships/worksheet" Target="/xl/worksheets/sheet1.xml" Id="R619be8f980e44b37" /><Relationship Type="http://schemas.openxmlformats.org/officeDocument/2006/relationships/worksheet" Target="/xl/worksheets/sheet2.xml" Id="R7a5a82ca29c1427f" /><Relationship Type="http://schemas.openxmlformats.org/officeDocument/2006/relationships/worksheet" Target="/xl/worksheets/sheet3.xml" Id="R3b2c969a67c943a3" /><Relationship Type="http://schemas.openxmlformats.org/officeDocument/2006/relationships/worksheet" Target="/xl/worksheets/sheet4.xml" Id="R1e0e9d9d50924c43" /><Relationship Type="http://schemas.openxmlformats.org/officeDocument/2006/relationships/worksheet" Target="/xl/worksheets/sheet5.xml" Id="R70feb9cf6a3f41d2" /><Relationship Type="http://schemas.openxmlformats.org/officeDocument/2006/relationships/worksheet" Target="/xl/worksheets/sheet6.xml" Id="R1378a913961a48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1" hidden="0" customWidth="1"/>
    <col min="2" max="2" width="2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</cols>
  <sheetData>
    <row r="1" ht="36" customHeight="1">
      <c r="A1" s="4" t="str">
        <v>Юнит-экономика: маркетплейс</v>
      </c>
      <c r="B1" s="4"/>
      <c r="C1" s="4"/>
      <c r="D1" s="4"/>
      <c r="E1" s="4"/>
      <c r="F1" s="4"/>
    </row>
    <row r="2" ht="34" customHeight="1">
      <c r="A2" s="7" t="str">
        <v>Шаблон Aksanov.Digital - вводные выделены желтым, расчеты выполняются формулами</v>
      </c>
      <c r="B2" s="7"/>
      <c r="C2" s="7"/>
      <c r="D2" s="7"/>
      <c r="E2" s="7"/>
      <c r="F2" s="7"/>
    </row>
    <row r="3">
      <c r="A3" s="2"/>
      <c r="B3" s="2"/>
      <c r="C3" s="2"/>
      <c r="D3" s="2"/>
      <c r="E3" s="2"/>
      <c r="F3" s="2"/>
    </row>
    <row r="4">
      <c r="A4" s="10" t="str">
        <v>Как работать</v>
      </c>
      <c r="B4" s="10"/>
      <c r="C4" s="10"/>
      <c r="D4" s="10"/>
      <c r="E4" s="10"/>
      <c r="F4" s="10"/>
    </row>
    <row r="5" ht="34" customHeight="1">
      <c r="A5" s="13" t="str">
        <v>1</v>
      </c>
      <c r="B5" s="11" t="str">
        <v>Заполните «Вводные»</v>
      </c>
      <c r="C5" s="14" t="str">
        <v>Замените примерные значения фактическими данными одной валюты.</v>
      </c>
      <c r="D5" s="14"/>
      <c r="E5" s="14"/>
      <c r="F5" s="14"/>
    </row>
    <row r="6" ht="34" customHeight="1">
      <c r="A6" s="13" t="str">
        <v>2</v>
      </c>
      <c r="B6" s="11" t="str">
        <v>Проверьте юнит</v>
      </c>
      <c r="C6" s="14" t="str">
        <v>Ключевые показатели, границы цены привлечения и точка безубыточности собраны на одном листе.</v>
      </c>
      <c r="D6" s="14"/>
      <c r="E6" s="14"/>
      <c r="F6" s="14"/>
    </row>
    <row r="7" ht="34" customHeight="1">
      <c r="A7" s="13" t="str">
        <v>3</v>
      </c>
      <c r="B7" s="11" t="str">
        <v>Сравните сценарии</v>
      </c>
      <c r="C7" s="14" t="str">
        <v>Измените желтые коэффициенты для пессимистичного и целевого вариантов.</v>
      </c>
      <c r="D7" s="14"/>
      <c r="E7" s="14"/>
      <c r="F7" s="14"/>
    </row>
    <row r="8" ht="34" customHeight="1">
      <c r="A8" s="13" t="str">
        <v>4</v>
      </c>
      <c r="B8" s="11" t="str">
        <v>Посмотрите 12 месяцев</v>
      </c>
      <c r="C8" s="14" t="str">
        <v>Помесячный прогноз использует заданные темпы роста без сезонности.</v>
      </c>
      <c r="D8" s="14"/>
      <c r="E8" s="14"/>
      <c r="F8" s="14"/>
    </row>
    <row r="9" ht="34" customHeight="1">
      <c r="A9" s="13" t="str">
        <v>5</v>
      </c>
      <c r="B9" s="11" t="str">
        <v>Сверьте определения</v>
      </c>
      <c r="C9" s="14" t="str">
        <v>Формулы и ограничения собраны на листе «Справка».</v>
      </c>
      <c r="D9" s="14"/>
      <c r="E9" s="14"/>
      <c r="F9" s="14"/>
    </row>
    <row r="10">
      <c r="A10" s="2"/>
      <c r="B10" s="2"/>
      <c r="C10" s="2"/>
      <c r="D10" s="2"/>
      <c r="E10" s="2"/>
      <c r="F10" s="2"/>
    </row>
    <row r="11">
      <c r="A11" s="10" t="str">
        <v>Граница модели</v>
      </c>
      <c r="B11" s="10"/>
      <c r="C11" s="10"/>
      <c r="D11" s="10"/>
      <c r="E11" s="10"/>
      <c r="F11" s="10"/>
    </row>
    <row r="12" ht="36" customHeight="1">
      <c r="A12" s="15" t="str">
        <v>Единица</v>
      </c>
      <c r="B12" s="14" t="str">
        <v>Один выкупленный товар. Расходы на невыкупленные отправления распределяются на выкупленные продажи.</v>
      </c>
      <c r="C12" s="14"/>
      <c r="D12" s="14"/>
      <c r="E12" s="14"/>
      <c r="F12" s="14"/>
    </row>
    <row r="13" ht="36" customHeight="1">
      <c r="A13" s="15" t="str">
        <v>Область расчета</v>
      </c>
      <c r="B13" s="14" t="str">
        <v>Юнит и текущий месячный объем</v>
      </c>
      <c r="C13" s="14"/>
      <c r="D13" s="14"/>
      <c r="E13" s="14"/>
      <c r="F13" s="14"/>
    </row>
    <row r="14" ht="36" customHeight="1">
      <c r="A14" s="15" t="str">
        <v>Источник</v>
      </c>
      <c r="B14" s="14" t="str">
        <v>unit-economics-facts.md, Knowledge, 07.07.2026</v>
      </c>
      <c r="C14" s="14"/>
      <c r="D14" s="14"/>
      <c r="E14" s="14"/>
      <c r="F14" s="14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5" t="str">
        <v>Тарифы площадок меняются, поэтому комиссия, логистика, хранение и реклама вводятся вручную. Перед решением сверяйте ставки в кабинете маркетплейса.</v>
      </c>
      <c r="B17" s="26"/>
      <c r="C17" s="26"/>
      <c r="D17" s="26"/>
      <c r="E17" s="26"/>
      <c r="F17" s="27"/>
    </row>
    <row r="18">
      <c r="A18" s="28"/>
      <c r="B18" s="29"/>
      <c r="C18" s="29"/>
      <c r="D18" s="29"/>
      <c r="E18" s="29"/>
      <c r="F18" s="30"/>
    </row>
    <row r="19">
      <c r="A19" s="31"/>
      <c r="B19" s="32"/>
      <c r="C19" s="32"/>
      <c r="D19" s="32"/>
      <c r="E19" s="32"/>
      <c r="F19" s="33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</sheetData>
  <mergeCells>
    <mergeCell ref="A1:F1"/>
    <mergeCell ref="A2:F2"/>
    <mergeCell ref="A4:F4"/>
    <mergeCell ref="C5:F5"/>
    <mergeCell ref="C6:F6"/>
    <mergeCell ref="C7:F7"/>
    <mergeCell ref="C8:F8"/>
    <mergeCell ref="C9:F9"/>
    <mergeCell ref="A11:F11"/>
    <mergeCell ref="B12:F12"/>
    <mergeCell ref="B13:F13"/>
    <mergeCell ref="B14:F14"/>
    <mergeCell ref="A17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8" hidden="0" customWidth="1"/>
    <col min="2" max="2" width="18" hidden="0" customWidth="1"/>
    <col min="3" max="3" width="23" hidden="0" customWidth="1"/>
    <col min="4" max="4" width="48" hidden="0" customWidth="1"/>
  </cols>
  <sheetData>
    <row r="1" ht="36" customHeight="1">
      <c r="A1" s="4" t="str">
        <v>Вводные: маркетплейс</v>
      </c>
      <c r="B1" s="4"/>
      <c r="C1" s="4"/>
      <c r="D1" s="4"/>
    </row>
    <row r="2" ht="34" customHeight="1">
      <c r="A2" s="7" t="str">
        <v>Меняйте только желтые ячейки. Денежные значения должны быть в одной валюте.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Параметр</v>
      </c>
      <c r="B4" s="35" t="str">
        <v>Значение</v>
      </c>
      <c r="C4" s="35" t="str">
        <v>Единица</v>
      </c>
      <c r="D4" s="35" t="str">
        <v>Как понимать</v>
      </c>
    </row>
    <row r="5" ht="28" customHeight="1">
      <c r="A5" s="2" t="str">
        <v>Валюта</v>
      </c>
      <c r="B5" s="39" t="str">
        <v>USD</v>
      </c>
      <c r="C5" s="2" t="str">
        <v>код</v>
      </c>
      <c r="D5" s="48" t="str">
        <v>USD, EUR, KZT, UZS, AED или RUB</v>
      </c>
    </row>
    <row r="6" ht="28" customHeight="1">
      <c r="A6" s="2" t="str">
        <v>Цена продажи</v>
      </c>
      <c r="B6" s="41" t="n">
        <v>3000</v>
      </c>
      <c r="C6" s="2" t="str">
        <v>за товар</v>
      </c>
      <c r="D6" s="48" t="str">
        <v>Цена после скидки продавца</v>
      </c>
    </row>
    <row r="7" ht="28" customHeight="1">
      <c r="A7" s="2" t="str">
        <v>Себестоимость товара</v>
      </c>
      <c r="B7" s="41" t="n">
        <v>900</v>
      </c>
      <c r="C7" s="2" t="str">
        <v>за товар</v>
      </c>
      <c r="D7" s="48" t="str">
        <v>Закупка или производство</v>
      </c>
    </row>
    <row r="8" ht="28" customHeight="1">
      <c r="A8" s="2" t="str">
        <v>Комиссия маркетплейса</v>
      </c>
      <c r="B8" s="42" t="n">
        <v>0.18</v>
      </c>
      <c r="C8" s="2" t="str">
        <v>% цены</v>
      </c>
      <c r="D8" s="48" t="str">
        <v>Актуальная комиссия категории</v>
      </c>
    </row>
    <row r="9" ht="28" customHeight="1">
      <c r="A9" s="2" t="str">
        <v>Эквайринг и платежные комиссии</v>
      </c>
      <c r="B9" s="42" t="n">
        <v>0.02</v>
      </c>
      <c r="C9" s="2" t="str">
        <v>% цены</v>
      </c>
      <c r="D9" s="48" t="str">
        <v>Если площадка выделяет отдельно</v>
      </c>
    </row>
    <row r="10" ht="28" customHeight="1">
      <c r="A10" s="2" t="str">
        <v>Налог с выручки</v>
      </c>
      <c r="B10" s="42" t="n">
        <v>0.06</v>
      </c>
      <c r="C10" s="2" t="str">
        <v>% цены</v>
      </c>
      <c r="D10" s="48" t="str">
        <v>Ставка вашей системы налогообложения</v>
      </c>
    </row>
    <row r="11" ht="28" customHeight="1">
      <c r="A11" s="2" t="str">
        <v>Процент выкупа</v>
      </c>
      <c r="B11" s="42" t="n">
        <v>0.82</v>
      </c>
      <c r="C11" s="2" t="str">
        <v>% отправлений</v>
      </c>
      <c r="D11" s="48" t="str">
        <v>Выкупленные товары к отправленным</v>
      </c>
    </row>
    <row r="12" ht="28" customHeight="1">
      <c r="A12" s="2" t="str">
        <v>Логистика до покупателя</v>
      </c>
      <c r="B12" s="41" t="n">
        <v>180</v>
      </c>
      <c r="C12" s="2" t="str">
        <v>за отправление</v>
      </c>
      <c r="D12" s="48" t="str">
        <v>Прямая логистика площадки</v>
      </c>
    </row>
    <row r="13" ht="28" customHeight="1">
      <c r="A13" s="2" t="str">
        <v>Обратная логистика</v>
      </c>
      <c r="B13" s="41" t="n">
        <v>120</v>
      </c>
      <c r="C13" s="2" t="str">
        <v>за возврат</v>
      </c>
      <c r="D13" s="48" t="str">
        <v>Стоимость невыкупа или возврата</v>
      </c>
    </row>
    <row r="14" ht="28" customHeight="1">
      <c r="A14" s="2" t="str">
        <v>Упаковка и обработка</v>
      </c>
      <c r="B14" s="41" t="n">
        <v>70</v>
      </c>
      <c r="C14" s="2" t="str">
        <v>за отправление</v>
      </c>
      <c r="D14" s="48" t="str">
        <v>Упаковка, приемка, фулфилмент</v>
      </c>
    </row>
    <row r="15" ht="28" customHeight="1">
      <c r="A15" s="2" t="str">
        <v>Хранение на проданный товар</v>
      </c>
      <c r="B15" s="41" t="n">
        <v>35</v>
      </c>
      <c r="C15" s="2" t="str">
        <v>за выкуп</v>
      </c>
      <c r="D15" s="48" t="str">
        <v>Распределенное хранение</v>
      </c>
    </row>
    <row r="16" ht="28" customHeight="1">
      <c r="A16" s="2" t="str">
        <v>Реклама, ДРР</v>
      </c>
      <c r="B16" s="42" t="n">
        <v>0.12</v>
      </c>
      <c r="C16" s="2" t="str">
        <v>% цены</v>
      </c>
      <c r="D16" s="48" t="str">
        <v>Рекламные расходы к выручке</v>
      </c>
    </row>
    <row r="17" ht="28" customHeight="1">
      <c r="A17" s="2" t="str">
        <v>Прочие переменные расходы</v>
      </c>
      <c r="B17" s="41" t="n">
        <v>40</v>
      </c>
      <c r="C17" s="2" t="str">
        <v>за выкуп</v>
      </c>
      <c r="D17" s="48" t="str">
        <v>Брак, штрафы, расходники</v>
      </c>
    </row>
    <row r="18" ht="28" customHeight="1">
      <c r="A18" s="2" t="str">
        <v>Выкупленных товаров в месяц</v>
      </c>
      <c r="B18" s="43" t="n">
        <v>800</v>
      </c>
      <c r="C18" s="2" t="str">
        <v>товаров</v>
      </c>
      <c r="D18" s="48" t="str">
        <v>Фактические выкупы</v>
      </c>
    </row>
    <row r="19" ht="28" customHeight="1">
      <c r="A19" s="2" t="str">
        <v>Постоянные расходы в месяц</v>
      </c>
      <c r="B19" s="43" t="n">
        <v>250000</v>
      </c>
      <c r="C19" s="2" t="str">
        <v>в месяц</v>
      </c>
      <c r="D19" s="48" t="str">
        <v>Команда, сервисы и постоянный фулфилмент</v>
      </c>
    </row>
    <row r="20" ht="28" customHeight="1">
      <c r="A20" s="2" t="str">
        <v>Рост продаж в месяц</v>
      </c>
      <c r="B20" s="42" t="n">
        <v>0.05</v>
      </c>
      <c r="C20" s="2" t="str">
        <v>%</v>
      </c>
      <c r="D20" s="48" t="str">
        <v>Для прогноза на год</v>
      </c>
    </row>
    <row r="21" ht="28" customHeight="1">
      <c r="A21" s="11" t="str">
        <v>Рост цены в месяц</v>
      </c>
      <c r="B21" s="45" t="n">
        <v>0</v>
      </c>
      <c r="C21" s="11" t="str">
        <v>%</v>
      </c>
      <c r="D21" s="49" t="str">
        <v>Для прогноза на год</v>
      </c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5" t="str">
        <v>Модель не содержит тарифов конкретной площадки. Введите актуальные ставки своей категории, склада, схемы FBO/FBS и региона.</v>
      </c>
      <c r="B24" s="26"/>
      <c r="C24" s="26"/>
      <c r="D24" s="27"/>
    </row>
    <row r="25">
      <c r="A25" s="28"/>
      <c r="B25" s="29"/>
      <c r="C25" s="29"/>
      <c r="D25" s="30"/>
    </row>
    <row r="26">
      <c r="A26" s="31"/>
      <c r="B26" s="32"/>
      <c r="C26" s="32"/>
      <c r="D26" s="33"/>
    </row>
    <row r="27">
      <c r="A27" s="2"/>
      <c r="B27" s="2"/>
      <c r="C27" s="2"/>
      <c r="D27" s="2"/>
    </row>
  </sheetData>
  <mergeCells>
    <mergeCell ref="A1:D1"/>
    <mergeCell ref="A2:D2"/>
    <mergeCell ref="A24:D26"/>
  </mergeCells>
  <dataValidations count="1">
    <dataValidation type="list" sqref="B5">
      <formula1>"USD,EUR,KZT,UZS,AED,RUB"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0" hidden="0" customWidth="1"/>
    <col min="2" max="2" width="19" hidden="0" customWidth="1"/>
    <col min="3" max="3" width="20" hidden="0" customWidth="1"/>
    <col min="4" max="4" width="50" hidden="0" customWidth="1"/>
  </cols>
  <sheetData>
    <row r="1" ht="36" customHeight="1">
      <c r="A1" s="4" t="str">
        <v>Юнит-экономика: маркетплейс</v>
      </c>
      <c r="B1" s="4"/>
      <c r="C1" s="4"/>
      <c r="D1" s="4"/>
    </row>
    <row r="2" ht="34" customHeight="1">
      <c r="A2" s="7" t="str">
        <v>Расчет на один выкупленный товар и на текущий месячный объем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Показатель</v>
      </c>
      <c r="B4" s="35" t="str">
        <v>Результат</v>
      </c>
      <c r="C4" s="35" t="str">
        <v>Единица</v>
      </c>
      <c r="D4" s="35" t="str">
        <v>Смысл</v>
      </c>
    </row>
    <row r="5" ht="28" customHeight="1">
      <c r="A5" s="2" t="str">
        <v>Цена продажи</v>
      </c>
      <c r="B5" s="56" t="n">
        <f>'Вводные'!B6</f>
        <v>3000</v>
      </c>
      <c r="C5" s="2" t="str">
        <v>за выкуп</v>
      </c>
      <c r="D5" s="48" t="str">
        <v>Цена после скидки продавца</v>
      </c>
    </row>
    <row r="6" ht="28" customHeight="1">
      <c r="A6" s="2" t="str">
        <v>Комиссии площадки и платежей</v>
      </c>
      <c r="B6" s="56" t="n">
        <f>B5*('Вводные'!B8+'Вводные'!B9)</f>
        <v>600</v>
      </c>
      <c r="C6" s="2" t="str">
        <v>за выкуп</v>
      </c>
      <c r="D6" s="48" t="str">
        <v>Комиссия маркетплейса и эквайринг</v>
      </c>
    </row>
    <row r="7" ht="28" customHeight="1">
      <c r="A7" s="2" t="str">
        <v>Налог</v>
      </c>
      <c r="B7" s="56" t="n">
        <f>B5*'Вводные'!B10</f>
        <v>180</v>
      </c>
      <c r="C7" s="2" t="str">
        <v>за выкуп</v>
      </c>
      <c r="D7" s="48" t="str">
        <v>Налог с цены продажи</v>
      </c>
    </row>
    <row r="8" ht="28" customHeight="1">
      <c r="A8" s="2" t="str">
        <v>Логистика с учетом выкупа</v>
      </c>
      <c r="B8" s="56" t="n">
        <f>IF('Вводные'!B11&lt;=0,0,('Вводные'!B12+'Вводные'!B14)/'Вводные'!B11+'Вводные'!B13*(1-'Вводные'!B11)/'Вводные'!B11+'Вводные'!B15+'Вводные'!B17)</f>
        <v>406.219512195122</v>
      </c>
      <c r="C8" s="2" t="str">
        <v>за выкуп</v>
      </c>
      <c r="D8" s="48" t="str">
        <v>Прямые и обратные расходы распределены на выкупы</v>
      </c>
    </row>
    <row r="9" ht="28" customHeight="1">
      <c r="A9" s="2" t="str">
        <v>Реклама</v>
      </c>
      <c r="B9" s="56" t="n">
        <f>B5*'Вводные'!B16</f>
        <v>360</v>
      </c>
      <c r="C9" s="2" t="str">
        <v>за выкуп</v>
      </c>
      <c r="D9" s="48" t="str">
        <v>Рекламная доля цены</v>
      </c>
    </row>
    <row r="10" ht="28" customHeight="1">
      <c r="A10" s="2" t="str">
        <v>CM1 до рекламы</v>
      </c>
      <c r="B10" s="56" t="n">
        <f>B5-'Вводные'!B7-B6-B7-B8</f>
        <v>913.780487804878</v>
      </c>
      <c r="C10" s="2" t="str">
        <v>за выкуп</v>
      </c>
      <c r="D10" s="48" t="str">
        <v>Маржа до рекламы</v>
      </c>
    </row>
    <row r="11" ht="28" customHeight="1">
      <c r="A11" s="2" t="str">
        <v>CM1, %</v>
      </c>
      <c r="B11" s="57" t="n">
        <f>IF(B5=0,0,B10/B5)</f>
        <v>0.3045934959349593</v>
      </c>
      <c r="C11" s="2" t="str">
        <v>%</v>
      </c>
      <c r="D11" s="48" t="str">
        <v>Маржа до рекламы</v>
      </c>
    </row>
    <row r="12" ht="28" customHeight="1">
      <c r="A12" s="2" t="str">
        <v>CM2 после рекламы</v>
      </c>
      <c r="B12" s="56" t="n">
        <f>B10-B9</f>
        <v>553.780487804878</v>
      </c>
      <c r="C12" s="2" t="str">
        <v>за выкуп</v>
      </c>
      <c r="D12" s="48" t="str">
        <v>Прибыль товара после рекламы</v>
      </c>
    </row>
    <row r="13" ht="28" customHeight="1">
      <c r="A13" s="2" t="str">
        <v>CM2, %</v>
      </c>
      <c r="B13" s="57" t="n">
        <f>IF(B5=0,0,B12/B5)</f>
        <v>0.18459349593495933</v>
      </c>
      <c r="C13" s="2" t="str">
        <v>%</v>
      </c>
      <c r="D13" s="48" t="str">
        <v>Маржа после рекламы</v>
      </c>
    </row>
    <row r="14" ht="28" customHeight="1">
      <c r="A14" s="2" t="str">
        <v>Максимальный рекламный расход</v>
      </c>
      <c r="B14" s="56" t="n">
        <f>B10</f>
        <v>913.780487804878</v>
      </c>
      <c r="C14" s="2" t="str">
        <v>за выкуп</v>
      </c>
      <c r="D14" s="48" t="str">
        <v>Верхняя граница до постоянных расходов</v>
      </c>
    </row>
    <row r="15" ht="28" customHeight="1">
      <c r="A15" s="2" t="str">
        <v>Максимальный ДРР</v>
      </c>
      <c r="B15" s="57" t="n">
        <f>IF(B5=0,0,B10/B5)</f>
        <v>0.3045934959349593</v>
      </c>
      <c r="C15" s="2" t="str">
        <v>%</v>
      </c>
      <c r="D15" s="48" t="str">
        <v>Граница рекламной доли</v>
      </c>
    </row>
    <row r="16" ht="28" customHeight="1">
      <c r="A16" s="2" t="str">
        <v>ROAS безубыточности</v>
      </c>
      <c r="B16" s="58" t="n">
        <f>IF(B11&lt;=0,0,1/B11)</f>
        <v>3.283064193247031</v>
      </c>
      <c r="C16" s="2" t="str">
        <v>x</v>
      </c>
      <c r="D16" s="48" t="str">
        <v>До постоянных расходов</v>
      </c>
    </row>
    <row r="17" ht="28" customHeight="1">
      <c r="A17" s="2" t="str">
        <v>Цена безубыточности</v>
      </c>
      <c r="B17" s="56" t="n">
        <f>IF(1-'Вводные'!B8-'Вводные'!B9-'Вводные'!B10-'Вводные'!B16&lt;=0,0,('Вводные'!B7+B8)/(1-'Вводные'!B8-'Вводные'!B9-'Вводные'!B10-'Вводные'!B16))</f>
        <v>2106.805664830842</v>
      </c>
      <c r="C17" s="2" t="str">
        <v>за товар</v>
      </c>
      <c r="D17" s="48" t="str">
        <v>Минимальная цена при текущих ставках</v>
      </c>
    </row>
    <row r="18" ht="28" customHeight="1">
      <c r="A18" s="2" t="str">
        <v>Выручка в месяц</v>
      </c>
      <c r="B18" s="56" t="n">
        <f>B5*'Вводные'!B18</f>
        <v>2400000</v>
      </c>
      <c r="C18" s="2" t="str">
        <v>в месяц</v>
      </c>
      <c r="D18" s="48" t="str">
        <v>Цена на фактические выкупы</v>
      </c>
    </row>
    <row r="19" ht="28" customHeight="1">
      <c r="A19" s="2" t="str">
        <v>Операционная прибыль в месяц</v>
      </c>
      <c r="B19" s="56" t="n">
        <f>B12*'Вводные'!B18-'Вводные'!B19</f>
        <v>193024.3902439024</v>
      </c>
      <c r="C19" s="2" t="str">
        <v>в месяц</v>
      </c>
      <c r="D19" s="48" t="str">
        <v>После постоянных расходов</v>
      </c>
    </row>
    <row r="20" ht="28" customHeight="1">
      <c r="A20" s="11" t="str">
        <v>Выкупов для безубыточности</v>
      </c>
      <c r="B20" s="60" t="n">
        <f>IF(B12&lt;=0,0,ROUNDUP('Вводные'!B19/B12,0))</f>
        <v>452</v>
      </c>
      <c r="C20" s="11" t="str">
        <v>товаров</v>
      </c>
      <c r="D20" s="49" t="str">
        <v>Минимальный месячный объем</v>
      </c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5" t="str">
        <v>Положительная CM2 означает, что товар покрывает переменные расходы и рекламу. Для решения дополнительно проверьте остатки, кассовый разрыв и оборачиваемость.</v>
      </c>
      <c r="B23" s="26"/>
      <c r="C23" s="26"/>
      <c r="D23" s="27"/>
    </row>
    <row r="24">
      <c r="A24" s="28"/>
      <c r="B24" s="29"/>
      <c r="C24" s="29"/>
      <c r="D24" s="30"/>
    </row>
    <row r="25">
      <c r="A25" s="31"/>
      <c r="B25" s="32"/>
      <c r="C25" s="32"/>
      <c r="D25" s="33"/>
    </row>
    <row r="26">
      <c r="A26" s="2"/>
      <c r="B26" s="2"/>
      <c r="C26" s="2"/>
      <c r="D26" s="2"/>
    </row>
  </sheetData>
  <mergeCells>
    <mergeCell ref="A1:D1"/>
    <mergeCell ref="A2:D2"/>
    <mergeCell ref="A23:D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2" hidden="0" customWidth="1"/>
    <col min="2" max="2" width="19" hidden="0" customWidth="1"/>
    <col min="3" max="3" width="19" hidden="0" customWidth="1"/>
    <col min="4" max="4" width="19" hidden="0" customWidth="1"/>
  </cols>
  <sheetData>
    <row r="1" ht="36" customHeight="1">
      <c r="A1" s="4" t="str">
        <v>Сценарии: маркетплейс</v>
      </c>
      <c r="B1" s="4"/>
      <c r="C1" s="4"/>
      <c r="D1" s="4"/>
    </row>
    <row r="2" ht="34" customHeight="1">
      <c r="A2" s="7" t="str">
        <v>Желтые ячейки - управляемые допущения. 1,00 означает текущее значение.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Допущение</v>
      </c>
      <c r="B4" s="35" t="str">
        <v>Базовый</v>
      </c>
      <c r="C4" s="35" t="str">
        <v>Пессимистичный</v>
      </c>
      <c r="D4" s="35" t="str">
        <v>Целевой</v>
      </c>
    </row>
    <row r="5">
      <c r="A5" s="2" t="str">
        <v>Цена, коэффициент</v>
      </c>
      <c r="B5" s="72" t="n">
        <v>1</v>
      </c>
      <c r="C5" s="73" t="n">
        <v>0.9</v>
      </c>
      <c r="D5" s="73" t="n">
        <v>1.1</v>
      </c>
    </row>
    <row r="6">
      <c r="A6" s="2" t="str">
        <v>Себестоимость, коэффициент</v>
      </c>
      <c r="B6" s="72" t="n">
        <v>1</v>
      </c>
      <c r="C6" s="73" t="n">
        <v>1.1</v>
      </c>
      <c r="D6" s="73" t="n">
        <v>0.95</v>
      </c>
    </row>
    <row r="7">
      <c r="A7" s="2" t="str">
        <v>Комиссия, изменение п.п.</v>
      </c>
      <c r="B7" s="75" t="n">
        <v>0</v>
      </c>
      <c r="C7" s="76" t="n">
        <v>0.03</v>
      </c>
      <c r="D7" s="76" t="n">
        <v>-0.02</v>
      </c>
    </row>
    <row r="8">
      <c r="A8" s="2" t="str">
        <v>Выкуп, изменение п.п.</v>
      </c>
      <c r="B8" s="75" t="n">
        <v>0</v>
      </c>
      <c r="C8" s="76" t="n">
        <v>-0.1</v>
      </c>
      <c r="D8" s="76" t="n">
        <v>0.05</v>
      </c>
    </row>
    <row r="9">
      <c r="A9" s="2" t="str">
        <v>ДРР, коэффициент</v>
      </c>
      <c r="B9" s="72" t="n">
        <v>1</v>
      </c>
      <c r="C9" s="73" t="n">
        <v>1.25</v>
      </c>
      <c r="D9" s="73" t="n">
        <v>0.8</v>
      </c>
    </row>
    <row r="10">
      <c r="A10" s="11" t="str">
        <v>Продажи, коэффициент</v>
      </c>
      <c r="B10" s="101" t="n">
        <v>1</v>
      </c>
      <c r="C10" s="102" t="n">
        <v>0.8</v>
      </c>
      <c r="D10" s="102" t="n">
        <v>1.3</v>
      </c>
    </row>
    <row r="11">
      <c r="A11" s="2"/>
      <c r="B11" s="2"/>
      <c r="C11" s="2"/>
      <c r="D11" s="2"/>
    </row>
    <row r="12">
      <c r="A12" s="10" t="str">
        <v>Результат</v>
      </c>
      <c r="B12" s="10"/>
      <c r="C12" s="10"/>
      <c r="D12" s="10"/>
    </row>
    <row r="13">
      <c r="A13" s="2" t="str">
        <v>Цена</v>
      </c>
      <c r="B13" s="92" t="n">
        <f>'Вводные'!B6*B5</f>
        <v>3000</v>
      </c>
      <c r="C13" s="93" t="n">
        <f>'Вводные'!B6*C5</f>
        <v>2700</v>
      </c>
      <c r="D13" s="93" t="n">
        <f>'Вводные'!B6*D5</f>
        <v>3300.0000000000005</v>
      </c>
    </row>
    <row r="14">
      <c r="A14" s="2" t="str">
        <v>Логистика / выкуп</v>
      </c>
      <c r="B14" s="92" t="n">
        <f>IF(MAX(0.01,MIN(1,'Вводные'!B11+B8))&lt;=0,0,('Вводные'!B12+'Вводные'!B14)/MAX(0.01,MIN(1,'Вводные'!B11+B8))+'Вводные'!B13*(1-MAX(0.01,MIN(1,'Вводные'!B11+B8)))/MAX(0.01,MIN(1,'Вводные'!B11+B8))+'Вводные'!B15+'Вводные'!B17)</f>
        <v>406.219512195122</v>
      </c>
      <c r="C14" s="93" t="n">
        <f>IF(MAX(0.01,MIN(1,'Вводные'!B11+C8))&lt;=0,0,('Вводные'!B12+'Вводные'!B14)/MAX(0.01,MIN(1,'Вводные'!B11+C8))+'Вводные'!B13*(1-MAX(0.01,MIN(1,'Вводные'!B11+C8)))/MAX(0.01,MIN(1,'Вводные'!B11+C8))+'Вводные'!B15+'Вводные'!B17)</f>
        <v>468.8888888888889</v>
      </c>
      <c r="D14" s="93" t="n">
        <f>IF(MAX(0.01,MIN(1,'Вводные'!B11+D8))&lt;=0,0,('Вводные'!B12+'Вводные'!B14)/MAX(0.01,MIN(1,'Вводные'!B11+D8))+'Вводные'!B13*(1-MAX(0.01,MIN(1,'Вводные'!B11+D8)))/MAX(0.01,MIN(1,'Вводные'!B11+D8))+'Вводные'!B15+'Вводные'!B17)</f>
        <v>380.28735632183907</v>
      </c>
    </row>
    <row r="15">
      <c r="A15" s="2" t="str">
        <v>CM1 / выкуп</v>
      </c>
      <c r="B15" s="92" t="n">
        <f>B13-'Вводные'!B7*B6-B13*('Вводные'!B8+B7+'Вводные'!B9+'Вводные'!B10)-B14</f>
        <v>913.780487804878</v>
      </c>
      <c r="C15" s="93" t="n">
        <f>C13-'Вводные'!B7*C6-C13*('Вводные'!B8+C7+'Вводные'!B9+'Вводные'!B10)-C14</f>
        <v>458.1111111111111</v>
      </c>
      <c r="D15" s="93" t="n">
        <f>D13-'Вводные'!B7*D6-D13*('Вводные'!B8+D7+'Вводные'!B9+'Вводные'!B10)-D14</f>
        <v>1272.7126436781614</v>
      </c>
    </row>
    <row r="16">
      <c r="A16" s="2" t="str">
        <v>CM2 / выкуп</v>
      </c>
      <c r="B16" s="92" t="n">
        <f>B15-B13*'Вводные'!B16*B9</f>
        <v>553.780487804878</v>
      </c>
      <c r="C16" s="93" t="n">
        <f>C15-C13*'Вводные'!B16*C9</f>
        <v>53.111111111111086</v>
      </c>
      <c r="D16" s="93" t="n">
        <f>D15-D13*'Вводные'!B16*D9</f>
        <v>955.9126436781613</v>
      </c>
    </row>
    <row r="17">
      <c r="A17" s="2" t="str">
        <v>CM2, %</v>
      </c>
      <c r="B17" s="95" t="n">
        <f>IF(B13=0,0,B16/B13)</f>
        <v>0.18459349593495933</v>
      </c>
      <c r="C17" s="96" t="n">
        <f>IF(C13=0,0,C16/C13)</f>
        <v>0.019670781893004106</v>
      </c>
      <c r="D17" s="96" t="n">
        <f>IF(D13=0,0,D16/D13)</f>
        <v>0.2896704980842913</v>
      </c>
    </row>
    <row r="18">
      <c r="A18" s="2" t="str">
        <v>Операционная прибыль</v>
      </c>
      <c r="B18" s="92" t="n">
        <f>B16*'Вводные'!B18*B10-'Вводные'!B19</f>
        <v>193024.3902439024</v>
      </c>
      <c r="C18" s="93" t="n">
        <f>C16*'Вводные'!B18*C10-'Вводные'!B19</f>
        <v>-216008.8888888889</v>
      </c>
      <c r="D18" s="93" t="n">
        <f>D16*'Вводные'!B18*D10-'Вводные'!B19</f>
        <v>744149.1494252877</v>
      </c>
    </row>
    <row r="19">
      <c r="A19" s="2" t="str">
        <v>Максимальный ДРР</v>
      </c>
      <c r="B19" s="95" t="n">
        <f>IF(B13=0,0,B15/B13)</f>
        <v>0.3045934959349593</v>
      </c>
      <c r="C19" s="96" t="n">
        <f>IF(C13=0,0,C15/C13)</f>
        <v>0.1696707818930041</v>
      </c>
      <c r="D19" s="96" t="n">
        <f>IF(D13=0,0,D15/D13)</f>
        <v>0.38567049808429127</v>
      </c>
    </row>
    <row r="20">
      <c r="A20" s="11" t="str">
        <v>ROAS безубыточности</v>
      </c>
      <c r="B20" s="103" t="n">
        <f>IF(B19&lt;=0,0,1/B19)</f>
        <v>3.283064193247031</v>
      </c>
      <c r="C20" s="104" t="n">
        <f>IF(C19&lt;=0,0,1/C19)</f>
        <v>5.893766674751395</v>
      </c>
      <c r="D20" s="104" t="n">
        <f>IF(D19&lt;=0,0,1/D19)</f>
        <v>2.592886946155374</v>
      </c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5" t="str">
        <v>Сценарии помогают проверить чувствительность к тарифам, выкупу и рекламной доле. Целевой вариант требует подтвержденных изменений.</v>
      </c>
      <c r="B23" s="26"/>
      <c r="C23" s="26"/>
      <c r="D23" s="27"/>
    </row>
    <row r="24">
      <c r="A24" s="31"/>
      <c r="B24" s="32"/>
      <c r="C24" s="32"/>
      <c r="D24" s="33"/>
    </row>
    <row r="25">
      <c r="A25" s="2"/>
      <c r="B25" s="2"/>
      <c r="C25" s="2"/>
      <c r="D25" s="2"/>
    </row>
    <row r="26">
      <c r="A26" s="2"/>
      <c r="B26" s="2"/>
      <c r="C26" s="2"/>
      <c r="D26" s="2"/>
    </row>
  </sheetData>
  <mergeCells>
    <mergeCell ref="A1:D1"/>
    <mergeCell ref="A2:D2"/>
    <mergeCell ref="A12:D12"/>
    <mergeCell ref="A23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2" hidden="0" customWidth="1"/>
    <col min="3" max="3" width="13" hidden="0" customWidth="1"/>
    <col min="4" max="4" width="16" hidden="0" customWidth="1"/>
    <col min="5" max="5" width="11" hidden="0" customWidth="1"/>
    <col min="6" max="6" width="18" hidden="0" customWidth="1"/>
    <col min="7" max="7" width="15" hidden="0" customWidth="1"/>
    <col min="8" max="8" width="17" hidden="0" customWidth="1"/>
    <col min="9" max="9" width="15" hidden="0" customWidth="1"/>
    <col min="10" max="10" width="19" hidden="0" customWidth="1"/>
    <col min="11" max="11" width="20" hidden="0" customWidth="1"/>
    <col min="12" max="12" width="19" hidden="0" customWidth="1"/>
  </cols>
  <sheetData>
    <row r="1" ht="36" customHeight="1">
      <c r="A1" s="4" t="str">
        <v>Прогноз: маркетплейс на 12 месяцев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4" customHeight="1">
      <c r="A2" s="7" t="str">
        <v>Рост продаж и цены берется из вводных. Тарифы площадки считаются постоянными.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44" customHeight="1">
      <c r="A4" s="35" t="str">
        <v>Месяц</v>
      </c>
      <c r="B4" s="35" t="str">
        <v>Выкупы</v>
      </c>
      <c r="C4" s="35" t="str">
        <v>Цена</v>
      </c>
      <c r="D4" s="35" t="str">
        <v>Выручка</v>
      </c>
      <c r="E4" s="35" t="str">
        <v>Выкуп, %</v>
      </c>
      <c r="F4" s="35" t="str">
        <v>Логистика / выкуп</v>
      </c>
      <c r="G4" s="35" t="str">
        <v>CM1 / выкуп</v>
      </c>
      <c r="H4" s="35" t="str">
        <v>Реклама / выкуп</v>
      </c>
      <c r="I4" s="35" t="str">
        <v>CM2 / выкуп</v>
      </c>
      <c r="J4" s="35" t="str">
        <v>Постоянные расходы</v>
      </c>
      <c r="K4" s="35" t="str">
        <v>Операционная прибыль</v>
      </c>
      <c r="L4" s="35" t="str">
        <v>Накопленная прибыль</v>
      </c>
    </row>
    <row r="5">
      <c r="A5" s="2" t="str">
        <v>Месяц 1</v>
      </c>
      <c r="B5" s="92" t="n">
        <f>'Вводные'!$B$18</f>
        <v>800</v>
      </c>
      <c r="C5" s="93" t="n">
        <f>'Вводные'!$B$6</f>
        <v>3000</v>
      </c>
      <c r="D5" s="93" t="n">
        <f>B5*C5</f>
        <v>2400000</v>
      </c>
      <c r="E5" s="96" t="n">
        <f>'Вводные'!$B$11</f>
        <v>0.82</v>
      </c>
      <c r="F5" s="93" t="n">
        <f>IF(E5&lt;=0,0,('Вводные'!$B$12+'Вводные'!$B$14)/E5+'Вводные'!$B$13*(1-E5)/E5+'Вводные'!$B$15+'Вводные'!$B$17)</f>
        <v>406.219512195122</v>
      </c>
      <c r="G5" s="93" t="n">
        <f>C5-'Вводные'!$B$7-C5*('Вводные'!$B$8+'Вводные'!$B$9+'Вводные'!$B$10)-F5</f>
        <v>913.780487804878</v>
      </c>
      <c r="H5" s="93" t="n">
        <f>C5*'Вводные'!$B$16</f>
        <v>360</v>
      </c>
      <c r="I5" s="93" t="n">
        <f>G5-H5</f>
        <v>553.780487804878</v>
      </c>
      <c r="J5" s="93" t="n">
        <f>'Вводные'!$B$19</f>
        <v>250000</v>
      </c>
      <c r="K5" s="93" t="n">
        <f>I5*B5-J5</f>
        <v>193024.3902439024</v>
      </c>
      <c r="L5" s="93" t="n">
        <f>K5</f>
        <v>193024.3902439024</v>
      </c>
    </row>
    <row r="6">
      <c r="A6" s="2" t="str">
        <v>Месяц 2</v>
      </c>
      <c r="B6" s="92" t="n">
        <f>B5*(1+'Вводные'!$B$20)</f>
        <v>840</v>
      </c>
      <c r="C6" s="93" t="n">
        <f>C5*(1+'Вводные'!$B$21)</f>
        <v>3000</v>
      </c>
      <c r="D6" s="93" t="n">
        <f>B6*C6</f>
        <v>2520000</v>
      </c>
      <c r="E6" s="96" t="n">
        <f>'Вводные'!$B$11</f>
        <v>0.82</v>
      </c>
      <c r="F6" s="93" t="n">
        <f>IF(E6&lt;=0,0,('Вводные'!$B$12+'Вводные'!$B$14)/E6+'Вводные'!$B$13*(1-E6)/E6+'Вводные'!$B$15+'Вводные'!$B$17)</f>
        <v>406.219512195122</v>
      </c>
      <c r="G6" s="93" t="n">
        <f>C6-'Вводные'!$B$7-C6*('Вводные'!$B$8+'Вводные'!$B$9+'Вводные'!$B$10)-F6</f>
        <v>913.780487804878</v>
      </c>
      <c r="H6" s="93" t="n">
        <f>C6*'Вводные'!$B$16</f>
        <v>360</v>
      </c>
      <c r="I6" s="93" t="n">
        <f>G6-H6</f>
        <v>553.780487804878</v>
      </c>
      <c r="J6" s="93" t="n">
        <f>'Вводные'!$B$19</f>
        <v>250000</v>
      </c>
      <c r="K6" s="93" t="n">
        <f>I6*B6-J6</f>
        <v>215175.60975609755</v>
      </c>
      <c r="L6" s="93" t="n">
        <f>L5+K6</f>
        <v>408199.99999999994</v>
      </c>
    </row>
    <row r="7">
      <c r="A7" s="2" t="str">
        <v>Месяц 3</v>
      </c>
      <c r="B7" s="92" t="n">
        <f>B6*(1+'Вводные'!$B$20)</f>
        <v>882</v>
      </c>
      <c r="C7" s="93" t="n">
        <f>C6*(1+'Вводные'!$B$21)</f>
        <v>3000</v>
      </c>
      <c r="D7" s="93" t="n">
        <f>B7*C7</f>
        <v>2646000</v>
      </c>
      <c r="E7" s="96" t="n">
        <f>'Вводные'!$B$11</f>
        <v>0.82</v>
      </c>
      <c r="F7" s="93" t="n">
        <f>IF(E7&lt;=0,0,('Вводные'!$B$12+'Вводные'!$B$14)/E7+'Вводные'!$B$13*(1-E7)/E7+'Вводные'!$B$15+'Вводные'!$B$17)</f>
        <v>406.219512195122</v>
      </c>
      <c r="G7" s="93" t="n">
        <f>C7-'Вводные'!$B$7-C7*('Вводные'!$B$8+'Вводные'!$B$9+'Вводные'!$B$10)-F7</f>
        <v>913.780487804878</v>
      </c>
      <c r="H7" s="93" t="n">
        <f>C7*'Вводные'!$B$16</f>
        <v>360</v>
      </c>
      <c r="I7" s="93" t="n">
        <f>G7-H7</f>
        <v>553.780487804878</v>
      </c>
      <c r="J7" s="93" t="n">
        <f>'Вводные'!$B$19</f>
        <v>250000</v>
      </c>
      <c r="K7" s="93" t="n">
        <f>I7*B7-J7</f>
        <v>238434.3902439024</v>
      </c>
      <c r="L7" s="93" t="n">
        <f>L6+K7</f>
        <v>646634.3902439023</v>
      </c>
    </row>
    <row r="8">
      <c r="A8" s="2" t="str">
        <v>Месяц 4</v>
      </c>
      <c r="B8" s="92" t="n">
        <f>B7*(1+'Вводные'!$B$20)</f>
        <v>926.1</v>
      </c>
      <c r="C8" s="93" t="n">
        <f>C7*(1+'Вводные'!$B$21)</f>
        <v>3000</v>
      </c>
      <c r="D8" s="93" t="n">
        <f>B8*C8</f>
        <v>2778300</v>
      </c>
      <c r="E8" s="96" t="n">
        <f>'Вводные'!$B$11</f>
        <v>0.82</v>
      </c>
      <c r="F8" s="93" t="n">
        <f>IF(E8&lt;=0,0,('Вводные'!$B$12+'Вводные'!$B$14)/E8+'Вводные'!$B$13*(1-E8)/E8+'Вводные'!$B$15+'Вводные'!$B$17)</f>
        <v>406.219512195122</v>
      </c>
      <c r="G8" s="93" t="n">
        <f>C8-'Вводные'!$B$7-C8*('Вводные'!$B$8+'Вводные'!$B$9+'Вводные'!$B$10)-F8</f>
        <v>913.780487804878</v>
      </c>
      <c r="H8" s="93" t="n">
        <f>C8*'Вводные'!$B$16</f>
        <v>360</v>
      </c>
      <c r="I8" s="93" t="n">
        <f>G8-H8</f>
        <v>553.780487804878</v>
      </c>
      <c r="J8" s="93" t="n">
        <f>'Вводные'!$B$19</f>
        <v>250000</v>
      </c>
      <c r="K8" s="93" t="n">
        <f>I8*B8-J8</f>
        <v>262856.10975609755</v>
      </c>
      <c r="L8" s="93" t="n">
        <f>L7+K8</f>
        <v>909490.4999999999</v>
      </c>
    </row>
    <row r="9">
      <c r="A9" s="2" t="str">
        <v>Месяц 5</v>
      </c>
      <c r="B9" s="92" t="n">
        <f>B8*(1+'Вводные'!$B$20)</f>
        <v>972.4050000000001</v>
      </c>
      <c r="C9" s="93" t="n">
        <f>C8*(1+'Вводные'!$B$21)</f>
        <v>3000</v>
      </c>
      <c r="D9" s="93" t="n">
        <f>B9*C9</f>
        <v>2917215.0000000005</v>
      </c>
      <c r="E9" s="96" t="n">
        <f>'Вводные'!$B$11</f>
        <v>0.82</v>
      </c>
      <c r="F9" s="93" t="n">
        <f>IF(E9&lt;=0,0,('Вводные'!$B$12+'Вводные'!$B$14)/E9+'Вводные'!$B$13*(1-E9)/E9+'Вводные'!$B$15+'Вводные'!$B$17)</f>
        <v>406.219512195122</v>
      </c>
      <c r="G9" s="93" t="n">
        <f>C9-'Вводные'!$B$7-C9*('Вводные'!$B$8+'Вводные'!$B$9+'Вводные'!$B$10)-F9</f>
        <v>913.780487804878</v>
      </c>
      <c r="H9" s="93" t="n">
        <f>C9*'Вводные'!$B$16</f>
        <v>360</v>
      </c>
      <c r="I9" s="93" t="n">
        <f>G9-H9</f>
        <v>553.780487804878</v>
      </c>
      <c r="J9" s="93" t="n">
        <f>'Вводные'!$B$19</f>
        <v>250000</v>
      </c>
      <c r="K9" s="93" t="n">
        <f>I9*B9-J9</f>
        <v>288498.9152439025</v>
      </c>
      <c r="L9" s="93" t="n">
        <f>L8+K9</f>
        <v>1197989.4152439022</v>
      </c>
    </row>
    <row r="10">
      <c r="A10" s="2" t="str">
        <v>Месяц 6</v>
      </c>
      <c r="B10" s="92" t="n">
        <f>B9*(1+'Вводные'!$B$20)</f>
        <v>1021.0252500000001</v>
      </c>
      <c r="C10" s="93" t="n">
        <f>C9*(1+'Вводные'!$B$21)</f>
        <v>3000</v>
      </c>
      <c r="D10" s="93" t="n">
        <f>B10*C10</f>
        <v>3063075.7500000005</v>
      </c>
      <c r="E10" s="96" t="n">
        <f>'Вводные'!$B$11</f>
        <v>0.82</v>
      </c>
      <c r="F10" s="93" t="n">
        <f>IF(E10&lt;=0,0,('Вводные'!$B$12+'Вводные'!$B$14)/E10+'Вводные'!$B$13*(1-E10)/E10+'Вводные'!$B$15+'Вводные'!$B$17)</f>
        <v>406.219512195122</v>
      </c>
      <c r="G10" s="93" t="n">
        <f>C10-'Вводные'!$B$7-C10*('Вводные'!$B$8+'Вводные'!$B$9+'Вводные'!$B$10)-F10</f>
        <v>913.780487804878</v>
      </c>
      <c r="H10" s="93" t="n">
        <f>C10*'Вводные'!$B$16</f>
        <v>360</v>
      </c>
      <c r="I10" s="93" t="n">
        <f>G10-H10</f>
        <v>553.780487804878</v>
      </c>
      <c r="J10" s="93" t="n">
        <f>'Вводные'!$B$19</f>
        <v>250000</v>
      </c>
      <c r="K10" s="93" t="n">
        <f>I10*B10-J10</f>
        <v>315423.86100609764</v>
      </c>
      <c r="L10" s="93" t="n">
        <f>L9+K10</f>
        <v>1513413.2762499999</v>
      </c>
    </row>
    <row r="11">
      <c r="A11" s="2" t="str">
        <v>Месяц 7</v>
      </c>
      <c r="B11" s="92" t="n">
        <f>B10*(1+'Вводные'!$B$20)</f>
        <v>1072.0765125000003</v>
      </c>
      <c r="C11" s="93" t="n">
        <f>C10*(1+'Вводные'!$B$21)</f>
        <v>3000</v>
      </c>
      <c r="D11" s="93" t="n">
        <f>B11*C11</f>
        <v>3216229.5375000006</v>
      </c>
      <c r="E11" s="96" t="n">
        <f>'Вводные'!$B$11</f>
        <v>0.82</v>
      </c>
      <c r="F11" s="93" t="n">
        <f>IF(E11&lt;=0,0,('Вводные'!$B$12+'Вводные'!$B$14)/E11+'Вводные'!$B$13*(1-E11)/E11+'Вводные'!$B$15+'Вводные'!$B$17)</f>
        <v>406.219512195122</v>
      </c>
      <c r="G11" s="93" t="n">
        <f>C11-'Вводные'!$B$7-C11*('Вводные'!$B$8+'Вводные'!$B$9+'Вводные'!$B$10)-F11</f>
        <v>913.780487804878</v>
      </c>
      <c r="H11" s="93" t="n">
        <f>C11*'Вводные'!$B$16</f>
        <v>360</v>
      </c>
      <c r="I11" s="93" t="n">
        <f>G11-H11</f>
        <v>553.780487804878</v>
      </c>
      <c r="J11" s="93" t="n">
        <f>'Вводные'!$B$19</f>
        <v>250000</v>
      </c>
      <c r="K11" s="93" t="n">
        <f>I11*B11-J11</f>
        <v>343695.0540564025</v>
      </c>
      <c r="L11" s="93" t="n">
        <f>L10+K11</f>
        <v>1857108.3303064024</v>
      </c>
    </row>
    <row r="12">
      <c r="A12" s="2" t="str">
        <v>Месяц 8</v>
      </c>
      <c r="B12" s="92" t="n">
        <f>B11*(1+'Вводные'!$B$20)</f>
        <v>1125.6803381250004</v>
      </c>
      <c r="C12" s="93" t="n">
        <f>C11*(1+'Вводные'!$B$21)</f>
        <v>3000</v>
      </c>
      <c r="D12" s="93" t="n">
        <f>B12*C12</f>
        <v>3377041.014375001</v>
      </c>
      <c r="E12" s="96" t="n">
        <f>'Вводные'!$B$11</f>
        <v>0.82</v>
      </c>
      <c r="F12" s="93" t="n">
        <f>IF(E12&lt;=0,0,('Вводные'!$B$12+'Вводные'!$B$14)/E12+'Вводные'!$B$13*(1-E12)/E12+'Вводные'!$B$15+'Вводные'!$B$17)</f>
        <v>406.219512195122</v>
      </c>
      <c r="G12" s="93" t="n">
        <f>C12-'Вводные'!$B$7-C12*('Вводные'!$B$8+'Вводные'!$B$9+'Вводные'!$B$10)-F12</f>
        <v>913.780487804878</v>
      </c>
      <c r="H12" s="93" t="n">
        <f>C12*'Вводные'!$B$16</f>
        <v>360</v>
      </c>
      <c r="I12" s="93" t="n">
        <f>G12-H12</f>
        <v>553.780487804878</v>
      </c>
      <c r="J12" s="93" t="n">
        <f>'Вводные'!$B$19</f>
        <v>250000</v>
      </c>
      <c r="K12" s="93" t="n">
        <f>I12*B12-J12</f>
        <v>373379.80675922276</v>
      </c>
      <c r="L12" s="93" t="n">
        <f>L11+K12</f>
        <v>2230488.1370656253</v>
      </c>
    </row>
    <row r="13">
      <c r="A13" s="2" t="str">
        <v>Месяц 9</v>
      </c>
      <c r="B13" s="92" t="n">
        <f>B12*(1+'Вводные'!$B$20)</f>
        <v>1181.9643550312505</v>
      </c>
      <c r="C13" s="93" t="n">
        <f>C12*(1+'Вводные'!$B$21)</f>
        <v>3000</v>
      </c>
      <c r="D13" s="93" t="n">
        <f>B13*C13</f>
        <v>3545893.0650937515</v>
      </c>
      <c r="E13" s="96" t="n">
        <f>'Вводные'!$B$11</f>
        <v>0.82</v>
      </c>
      <c r="F13" s="93" t="n">
        <f>IF(E13&lt;=0,0,('Вводные'!$B$12+'Вводные'!$B$14)/E13+'Вводные'!$B$13*(1-E13)/E13+'Вводные'!$B$15+'Вводные'!$B$17)</f>
        <v>406.219512195122</v>
      </c>
      <c r="G13" s="93" t="n">
        <f>C13-'Вводные'!$B$7-C13*('Вводные'!$B$8+'Вводные'!$B$9+'Вводные'!$B$10)-F13</f>
        <v>913.780487804878</v>
      </c>
      <c r="H13" s="93" t="n">
        <f>C13*'Вводные'!$B$16</f>
        <v>360</v>
      </c>
      <c r="I13" s="93" t="n">
        <f>G13-H13</f>
        <v>553.780487804878</v>
      </c>
      <c r="J13" s="93" t="n">
        <f>'Вводные'!$B$19</f>
        <v>250000</v>
      </c>
      <c r="K13" s="93" t="n">
        <f>I13*B13-J13</f>
        <v>404548.797097184</v>
      </c>
      <c r="L13" s="93" t="n">
        <f>L12+K13</f>
        <v>2635036.9341628095</v>
      </c>
    </row>
    <row r="14">
      <c r="A14" s="2" t="str">
        <v>Месяц 10</v>
      </c>
      <c r="B14" s="92" t="n">
        <f>B13*(1+'Вводные'!$B$20)</f>
        <v>1241.062572782813</v>
      </c>
      <c r="C14" s="93" t="n">
        <f>C13*(1+'Вводные'!$B$21)</f>
        <v>3000</v>
      </c>
      <c r="D14" s="93" t="n">
        <f>B14*C14</f>
        <v>3723187.7183484393</v>
      </c>
      <c r="E14" s="96" t="n">
        <f>'Вводные'!$B$11</f>
        <v>0.82</v>
      </c>
      <c r="F14" s="93" t="n">
        <f>IF(E14&lt;=0,0,('Вводные'!$B$12+'Вводные'!$B$14)/E14+'Вводные'!$B$13*(1-E14)/E14+'Вводные'!$B$15+'Вводные'!$B$17)</f>
        <v>406.219512195122</v>
      </c>
      <c r="G14" s="93" t="n">
        <f>C14-'Вводные'!$B$7-C14*('Вводные'!$B$8+'Вводные'!$B$9+'Вводные'!$B$10)-F14</f>
        <v>913.780487804878</v>
      </c>
      <c r="H14" s="93" t="n">
        <f>C14*'Вводные'!$B$16</f>
        <v>360</v>
      </c>
      <c r="I14" s="93" t="n">
        <f>G14-H14</f>
        <v>553.780487804878</v>
      </c>
      <c r="J14" s="93" t="n">
        <f>'Вводные'!$B$19</f>
        <v>250000</v>
      </c>
      <c r="K14" s="93" t="n">
        <f>I14*B14-J14</f>
        <v>437276.23695204314</v>
      </c>
      <c r="L14" s="93" t="n">
        <f>L13+K14</f>
        <v>3072313.1711148527</v>
      </c>
    </row>
    <row r="15">
      <c r="A15" s="2" t="str">
        <v>Месяц 11</v>
      </c>
      <c r="B15" s="92" t="n">
        <f>B14*(1+'Вводные'!$B$20)</f>
        <v>1303.1157014219536</v>
      </c>
      <c r="C15" s="93" t="n">
        <f>C14*(1+'Вводные'!$B$21)</f>
        <v>3000</v>
      </c>
      <c r="D15" s="93" t="n">
        <f>B15*C15</f>
        <v>3909347.1042658607</v>
      </c>
      <c r="E15" s="96" t="n">
        <f>'Вводные'!$B$11</f>
        <v>0.82</v>
      </c>
      <c r="F15" s="93" t="n">
        <f>IF(E15&lt;=0,0,('Вводные'!$B$12+'Вводные'!$B$14)/E15+'Вводные'!$B$13*(1-E15)/E15+'Вводные'!$B$15+'Вводные'!$B$17)</f>
        <v>406.219512195122</v>
      </c>
      <c r="G15" s="93" t="n">
        <f>C15-'Вводные'!$B$7-C15*('Вводные'!$B$8+'Вводные'!$B$9+'Вводные'!$B$10)-F15</f>
        <v>913.780487804878</v>
      </c>
      <c r="H15" s="93" t="n">
        <f>C15*'Вводные'!$B$16</f>
        <v>360</v>
      </c>
      <c r="I15" s="93" t="n">
        <f>G15-H15</f>
        <v>553.780487804878</v>
      </c>
      <c r="J15" s="93" t="n">
        <f>'Вводные'!$B$19</f>
        <v>250000</v>
      </c>
      <c r="K15" s="93" t="n">
        <f>I15*B15-J15</f>
        <v>471640.0487996453</v>
      </c>
      <c r="L15" s="93" t="n">
        <f>L14+K15</f>
        <v>3543953.219914498</v>
      </c>
    </row>
    <row r="16">
      <c r="A16" s="11" t="str">
        <v>Месяц 12</v>
      </c>
      <c r="B16" s="110" t="n">
        <f>B15*(1+'Вводные'!$B$20)</f>
        <v>1368.2714864930515</v>
      </c>
      <c r="C16" s="111" t="n">
        <f>C15*(1+'Вводные'!$B$21)</f>
        <v>3000</v>
      </c>
      <c r="D16" s="111" t="n">
        <f>B16*C16</f>
        <v>4104814.4594791546</v>
      </c>
      <c r="E16" s="112" t="n">
        <f>'Вводные'!$B$11</f>
        <v>0.82</v>
      </c>
      <c r="F16" s="111" t="n">
        <f>IF(E16&lt;=0,0,('Вводные'!$B$12+'Вводные'!$B$14)/E16+'Вводные'!$B$13*(1-E16)/E16+'Вводные'!$B$15+'Вводные'!$B$17)</f>
        <v>406.219512195122</v>
      </c>
      <c r="G16" s="111" t="n">
        <f>C16-'Вводные'!$B$7-C16*('Вводные'!$B$8+'Вводные'!$B$9+'Вводные'!$B$10)-F16</f>
        <v>913.780487804878</v>
      </c>
      <c r="H16" s="111" t="n">
        <f>C16*'Вводные'!$B$16</f>
        <v>360</v>
      </c>
      <c r="I16" s="111" t="n">
        <f>G16-H16</f>
        <v>553.780487804878</v>
      </c>
      <c r="J16" s="111" t="n">
        <f>'Вводные'!$B$19</f>
        <v>250000</v>
      </c>
      <c r="K16" s="111" t="n">
        <f>I16*B16-J16</f>
        <v>507722.05123962765</v>
      </c>
      <c r="L16" s="111" t="n">
        <f>L15+K16</f>
        <v>4051675.271154125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5" t="str">
        <v>Прогноз не учитывает изменение тарифов, сезонность, оборачиваемость запасов и ограничения склада.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>
    <mergeCell ref="A1:L1"/>
    <mergeCell ref="A2:L2"/>
    <mergeCell ref="A18:L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38" hidden="0" customWidth="1"/>
    <col min="3" max="3" width="42" hidden="0" customWidth="1"/>
    <col min="4" max="4" width="44" hidden="0" customWidth="1"/>
  </cols>
  <sheetData>
    <row r="1" ht="36" customHeight="1">
      <c r="A1" s="4" t="str">
        <v>Справка: маркетплейс</v>
      </c>
      <c r="B1" s="4"/>
      <c r="C1" s="4"/>
      <c r="D1" s="4"/>
    </row>
    <row r="2" ht="34" customHeight="1">
      <c r="A2" s="7" t="str">
        <v>Определения и ограничения модели</v>
      </c>
      <c r="B2" s="7"/>
      <c r="C2" s="7"/>
      <c r="D2" s="7"/>
    </row>
    <row r="3">
      <c r="A3" s="2"/>
      <c r="B3" s="2"/>
      <c r="C3" s="2"/>
      <c r="D3" s="2"/>
    </row>
    <row r="4">
      <c r="A4" s="35" t="str">
        <v>Метрика</v>
      </c>
      <c r="B4" s="35" t="str">
        <v>Формула</v>
      </c>
      <c r="C4" s="35" t="str">
        <v>Что показывает</v>
      </c>
      <c r="D4" s="35" t="str">
        <v>Ограничение</v>
      </c>
    </row>
    <row r="5" ht="44" customHeight="1">
      <c r="A5" s="2" t="str">
        <v>Процент выкупа</v>
      </c>
      <c r="B5" s="113" t="str">
        <v>Выкупы / отправления</v>
      </c>
      <c r="C5" s="113" t="str">
        <v>Долю оплаченных товаров</v>
      </c>
      <c r="D5" s="113" t="str">
        <v>Зависит от категории и региона</v>
      </c>
    </row>
    <row r="6" ht="44" customHeight="1">
      <c r="A6" s="2" t="str">
        <v>Логистика / выкуп</v>
      </c>
      <c r="B6" s="113" t="str">
        <v>Прямая логистика / выкуп + обратная логистика возвратов</v>
      </c>
      <c r="C6" s="113" t="str">
        <v>Полную логистическую нагрузку</v>
      </c>
      <c r="D6" s="113" t="str">
        <v>Тарифы вводятся вручную</v>
      </c>
    </row>
    <row r="7" ht="44" customHeight="1">
      <c r="A7" s="2" t="str">
        <v>CM1</v>
      </c>
      <c r="B7" s="113" t="str">
        <v>Цена - товар - комиссии - налог - логистика</v>
      </c>
      <c r="C7" s="113" t="str">
        <v>Маржу до рекламы</v>
      </c>
      <c r="D7" s="113" t="str">
        <v>Не включает ДРР и постоянные расходы</v>
      </c>
    </row>
    <row r="8" ht="44" customHeight="1">
      <c r="A8" s="2" t="str">
        <v>CM2</v>
      </c>
      <c r="B8" s="113" t="str">
        <v>CM1 - реклама</v>
      </c>
      <c r="C8" s="113" t="str">
        <v>Прибыль после рекламы</v>
      </c>
      <c r="D8" s="113" t="str">
        <v>Не включает постоянные расходы</v>
      </c>
    </row>
    <row r="9" ht="44" customHeight="1">
      <c r="A9" s="2" t="str">
        <v>ДРР</v>
      </c>
      <c r="B9" s="113" t="str">
        <v>Реклама / выручка</v>
      </c>
      <c r="C9" s="113" t="str">
        <v>Долю рекламных затрат</v>
      </c>
      <c r="D9" s="113" t="str">
        <v>Сравнивайте на одинаковой базе выручки</v>
      </c>
    </row>
    <row r="10" ht="44" customHeight="1">
      <c r="A10" s="2" t="str">
        <v>ROAS безубыточности</v>
      </c>
      <c r="B10" s="113" t="str">
        <v>1 / CM1%</v>
      </c>
      <c r="C10" s="113" t="str">
        <v>Минимальный ROAS</v>
      </c>
      <c r="D10" s="113" t="str">
        <v>До постоянных расходов</v>
      </c>
    </row>
    <row r="11" ht="44" customHeight="1">
      <c r="A11" s="2" t="str">
        <v>Цена безубыточности</v>
      </c>
      <c r="B11" s="113" t="str">
        <v>Постоянные расходы юнита / остаточную долю цены</v>
      </c>
      <c r="C11" s="113" t="str">
        <v>Минимальную цену продажи</v>
      </c>
      <c r="D11" s="113" t="str">
        <v>Зависит от введенных ставок</v>
      </c>
    </row>
    <row r="12" ht="44" customHeight="1">
      <c r="A12" s="11" t="str">
        <v>Операционная прибыль</v>
      </c>
      <c r="B12" s="14" t="str">
        <v>CM2 × выкупы - постоянные расходы</v>
      </c>
      <c r="C12" s="14" t="str">
        <v>Результат месяца</v>
      </c>
      <c r="D12" s="14" t="str">
        <v>Не равно денежному потоку</v>
      </c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5" t="str">
        <v>Методология собрана по unit-economics-facts.md. Комиссии и тарифы не зашиты как постоянные значения, поскольку площадки меняют их по категориям и схемам работы.</v>
      </c>
      <c r="B15" s="26"/>
      <c r="C15" s="26"/>
      <c r="D15" s="27"/>
    </row>
    <row r="16">
      <c r="A16" s="28"/>
      <c r="B16" s="29"/>
      <c r="C16" s="29"/>
      <c r="D16" s="30"/>
    </row>
    <row r="17">
      <c r="A17" s="28"/>
      <c r="B17" s="29"/>
      <c r="C17" s="29"/>
      <c r="D17" s="30"/>
    </row>
    <row r="18">
      <c r="A18" s="31"/>
      <c r="B18" s="32"/>
      <c r="C18" s="32"/>
      <c r="D18" s="33"/>
    </row>
    <row r="19">
      <c r="A19" s="2"/>
      <c r="B19" s="2"/>
      <c r="C19" s="2"/>
      <c r="D19" s="2"/>
    </row>
  </sheetData>
  <mergeCells>
    <mergeCell ref="A1:D1"/>
    <mergeCell ref="A2:D2"/>
    <mergeCell ref="A15:D18"/>
  </mergeCells>
  <pageMargins left="0.7" right="0.7" top="0.75" bottom="0.75" header="0.3" footer="0.3"/>
</worksheet>
</file>