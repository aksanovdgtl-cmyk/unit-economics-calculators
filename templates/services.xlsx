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d07f9271f4fa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Инструкция" sheetId="1" r:id="Ra24f1d7d55c84c42"/>
    <sheet xmlns:r="http://schemas.openxmlformats.org/officeDocument/2006/relationships" name="Вводные" sheetId="2" r:id="Ra96cb1497063467f"/>
    <sheet xmlns:r="http://schemas.openxmlformats.org/officeDocument/2006/relationships" name="Юнит-экономика" sheetId="3" r:id="Rdf0ef3383a4f41c1"/>
    <sheet xmlns:r="http://schemas.openxmlformats.org/officeDocument/2006/relationships" name="Сценарии" sheetId="4" r:id="R776c2c9dce47406d"/>
    <sheet xmlns:r="http://schemas.openxmlformats.org/officeDocument/2006/relationships" name="Помесячный прогноз" sheetId="5" r:id="Rf8bf58c24e234f13"/>
    <sheet xmlns:r="http://schemas.openxmlformats.org/officeDocument/2006/relationships" name="Справка" sheetId="6" r:id="Rbfb116b1254f4e7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6">
    <numFmt numFmtId="200" formatCode="#,##0.00"/>
    <numFmt numFmtId="201" formatCode="#,##0.0"/>
    <numFmt numFmtId="202" formatCode="0.0%"/>
    <numFmt numFmtId="203" formatCode="#,##0"/>
    <numFmt numFmtId="204" formatCode="0.00x"/>
    <numFmt numFmtId="205" formatCode="0.00"/>
  </numFmts>
  <fonts count="7">
    <font>
      <sz val="11"/>
      <name val="Carlito"/>
    </font>
    <font>
      <sz val="11"/>
      <color rgb="FF202124"/>
      <name val="Aptos"/>
    </font>
    <font>
      <b/>
      <sz val="20"/>
      <color rgb="FFFFFFFF"/>
      <name val="Aptos Display"/>
    </font>
    <font>
      <sz val="10"/>
      <color rgb="FF60646C"/>
      <name val="Aptos"/>
    </font>
    <font>
      <b/>
      <sz val="11"/>
      <color rgb="FF8E5DF5"/>
      <name val="Aptos"/>
    </font>
    <font>
      <b/>
      <sz val="11"/>
      <color rgb="FF202124"/>
      <name val="Aptos"/>
    </font>
    <font>
      <b/>
      <sz val="10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8E5DF5"/>
      </patternFill>
    </fill>
    <fill>
      <patternFill patternType="solid">
        <fgColor rgb="FFFCFCFC"/>
      </patternFill>
    </fill>
    <fill>
      <patternFill patternType="solid">
        <fgColor rgb="FFF4F6F8"/>
      </patternFill>
    </fill>
    <fill>
      <patternFill patternType="solid">
        <fgColor rgb="FFFFF3C4"/>
      </patternFill>
    </fill>
    <fill>
      <patternFill patternType="solid">
        <fgColor rgb="FFEAF0FF"/>
      </patternFill>
    </fill>
  </fills>
  <borders count="36">
    <border/>
    <border>
      <bottom style="medium">
        <color rgb="FF8E5DF5"/>
      </bottom>
    </border>
    <border>
      <bottom style="thin">
        <color rgb="FFDDE2E8"/>
      </bottom>
    </border>
    <border>
      <left style="thin">
        <color rgb="FFDDE2E8"/>
      </left>
      <top style="thin">
        <color rgb="FFDDE2E8"/>
      </top>
    </border>
    <border>
      <top style="thin">
        <color rgb="FFDDE2E8"/>
      </top>
    </border>
    <border>
      <right style="thin">
        <color rgb="FFDDE2E8"/>
      </right>
      <top style="thin">
        <color rgb="FFDDE2E8"/>
      </top>
    </border>
    <border>
      <left style="thin">
        <color rgb="FFDDE2E8"/>
      </left>
    </border>
    <border>
      <right style="thin">
        <color rgb="FFDDE2E8"/>
      </right>
    </border>
    <border>
      <left style="thin">
        <color rgb="FFDDE2E8"/>
      </left>
      <bottom style="thin">
        <color rgb="FFDDE2E8"/>
      </bottom>
    </border>
    <border>
      <right style="thin">
        <color rgb="FFDDE2E8"/>
      </right>
      <bottom style="thin">
        <color rgb="FFDDE2E8"/>
      </bottom>
    </border>
    <border>
      <left style="thin">
        <color rgb="FFD6B84B"/>
      </left>
      <right style="thin">
        <color rgb="FFD6B84B"/>
      </right>
      <top style="thin">
        <color rgb="FFD6B84B"/>
      </top>
    </border>
    <border>
      <left style="thin">
        <color rgb="FFD6B84B"/>
      </left>
      <right style="thin">
        <color rgb="FFD6B84B"/>
      </right>
    </border>
    <border>
      <left style="thin">
        <color rgb="FFD6B84B"/>
      </left>
      <right style="thin">
        <color rgb="FFD6B84B"/>
      </right>
      <bottom style="thin">
        <color rgb="FFD6B84B"/>
      </bottom>
    </border>
    <border>
      <left style="thin">
        <color rgb="FFD6B84B"/>
      </left>
      <right style="thin">
        <color rgb="FFD6B84B"/>
      </right>
      <bottom style="thin">
        <color rgb="FFDDE2E8"/>
      </bottom>
    </border>
    <border>
      <left style="thin">
        <color rgb="FF9CB2FF"/>
      </left>
      <right style="thin">
        <color rgb="FF9CB2FF"/>
      </right>
      <top style="thin">
        <color rgb="FF9CB2FF"/>
      </top>
    </border>
    <border>
      <left style="thin">
        <color rgb="FF9CB2FF"/>
      </left>
      <right style="thin">
        <color rgb="FF9CB2FF"/>
      </right>
    </border>
    <border>
      <left style="thin">
        <color rgb="FF9CB2FF"/>
      </left>
      <right style="thin">
        <color rgb="FF9CB2FF"/>
      </right>
      <bottom style="thin">
        <color rgb="FF9CB2FF"/>
      </bottom>
    </border>
    <border>
      <left style="thin">
        <color rgb="FF9CB2FF"/>
      </left>
      <right style="thin">
        <color rgb="FF9CB2FF"/>
      </right>
      <bottom style="thin">
        <color rgb="FFDDE2E8"/>
      </bottom>
    </border>
    <border>
      <left style="thin">
        <color rgb="FFD6B84B"/>
      </left>
      <top style="thin">
        <color rgb="FFD6B84B"/>
      </top>
    </border>
    <border>
      <top style="thin">
        <color rgb="FFD6B84B"/>
      </top>
    </border>
    <border>
      <right style="thin">
        <color rgb="FFD6B84B"/>
      </right>
      <top style="thin">
        <color rgb="FFD6B84B"/>
      </top>
    </border>
    <border>
      <left style="thin">
        <color rgb="FFD6B84B"/>
      </left>
    </border>
    <border>
      <right style="thin">
        <color rgb="FFD6B84B"/>
      </right>
    </border>
    <border>
      <left style="thin">
        <color rgb="FFD6B84B"/>
      </left>
      <bottom style="thin">
        <color rgb="FFD6B84B"/>
      </bottom>
    </border>
    <border>
      <bottom style="thin">
        <color rgb="FFD6B84B"/>
      </bottom>
    </border>
    <border>
      <right style="thin">
        <color rgb="FFD6B84B"/>
      </right>
      <bottom style="thin">
        <color rgb="FFD6B84B"/>
      </bottom>
    </border>
    <border>
      <left style="thin">
        <color rgb="FF9CB2FF"/>
      </left>
      <top style="thin">
        <color rgb="FF9CB2FF"/>
      </top>
    </border>
    <border>
      <top style="thin">
        <color rgb="FF9CB2FF"/>
      </top>
    </border>
    <border>
      <right style="thin">
        <color rgb="FF9CB2FF"/>
      </right>
      <top style="thin">
        <color rgb="FF9CB2FF"/>
      </top>
    </border>
    <border>
      <left style="thin">
        <color rgb="FF9CB2FF"/>
      </left>
    </border>
    <border>
      <right style="thin">
        <color rgb="FF9CB2FF"/>
      </right>
    </border>
    <border>
      <left style="thin">
        <color rgb="FF9CB2FF"/>
      </left>
      <bottom style="thin">
        <color rgb="FF9CB2FF"/>
      </bottom>
    </border>
    <border>
      <bottom style="thin">
        <color rgb="FF9CB2FF"/>
      </bottom>
    </border>
    <border>
      <right style="thin">
        <color rgb="FF9CB2FF"/>
      </right>
      <bottom style="thin">
        <color rgb="FF9CB2FF"/>
      </bottom>
    </border>
    <border>
      <left style="thin">
        <color rgb="FFD6B84B"/>
      </left>
      <bottom style="thin">
        <color rgb="FFDDE2E8"/>
      </bottom>
    </border>
    <border>
      <left style="thin">
        <color rgb="FF9CB2FF"/>
      </left>
      <bottom style="thin">
        <color rgb="FFDDE2E8"/>
      </bottom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8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9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3" fillId="4" borderId="7" xfId="0" applyNumberFormat="1" applyFont="1" applyFill="1" applyBorder="1" applyAlignment="1">
      <alignment vertical="center" wrapText="1"/>
    </xf>
    <xf numFmtId="0" fontId="3" fillId="4" borderId="8" xfId="0" applyNumberFormat="1" applyFont="1" applyFill="1" applyBorder="1" applyAlignment="1">
      <alignment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3" fillId="4" borderId="9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5" borderId="10" xfId="0" applyNumberFormat="1" applyFont="1" applyFill="1" applyBorder="1" applyAlignment="1">
      <alignment vertical="center"/>
    </xf>
    <xf numFmtId="0" fontId="5" fillId="5" borderId="11" xfId="0" applyNumberFormat="1" applyFont="1" applyFill="1" applyBorder="1" applyAlignment="1">
      <alignment vertical="center"/>
    </xf>
    <xf numFmtId="0" fontId="5" fillId="5" borderId="12" xfId="0" applyNumberFormat="1" applyFont="1" applyFill="1" applyBorder="1" applyAlignment="1">
      <alignment vertical="center"/>
    </xf>
    <xf numFmtId="200" fontId="5" fillId="5" borderId="11" xfId="0" applyNumberFormat="1" applyFont="1" applyFill="1" applyBorder="1" applyAlignment="1">
      <alignment vertical="center"/>
    </xf>
    <xf numFmtId="201" fontId="5" fillId="5" borderId="11" xfId="0" applyNumberFormat="1" applyFont="1" applyFill="1" applyBorder="1" applyAlignment="1">
      <alignment vertical="center"/>
    </xf>
    <xf numFmtId="202" fontId="5" fillId="5" borderId="11" xfId="0" applyNumberFormat="1" applyFont="1" applyFill="1" applyBorder="1" applyAlignment="1">
      <alignment vertical="center"/>
    </xf>
    <xf numFmtId="203" fontId="5" fillId="5" borderId="11" xfId="0" applyNumberFormat="1" applyFont="1" applyFill="1" applyBorder="1" applyAlignment="1">
      <alignment vertical="center"/>
    </xf>
    <xf numFmtId="202" fontId="5" fillId="5" borderId="12" xfId="0" applyNumberFormat="1" applyFont="1" applyFill="1" applyBorder="1" applyAlignment="1">
      <alignment vertical="center"/>
    </xf>
    <xf numFmtId="202" fontId="5" fillId="5" borderId="1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4" fillId="6" borderId="14" xfId="0" applyNumberFormat="1" applyFont="1" applyFill="1" applyBorder="1" applyAlignment="1">
      <alignment vertical="center"/>
    </xf>
    <xf numFmtId="0" fontId="4" fillId="6" borderId="15" xfId="0" applyNumberFormat="1" applyFont="1" applyFill="1" applyBorder="1" applyAlignment="1">
      <alignment vertical="center"/>
    </xf>
    <xf numFmtId="0" fontId="4" fillId="6" borderId="16" xfId="0" applyNumberFormat="1" applyFont="1" applyFill="1" applyBorder="1" applyAlignment="1">
      <alignment vertical="center"/>
    </xf>
    <xf numFmtId="203" fontId="4" fillId="6" borderId="14" xfId="0" applyNumberFormat="1" applyFont="1" applyFill="1" applyBorder="1" applyAlignment="1">
      <alignment vertical="center"/>
    </xf>
    <xf numFmtId="203" fontId="4" fillId="6" borderId="15" xfId="0" applyNumberFormat="1" applyFont="1" applyFill="1" applyBorder="1" applyAlignment="1">
      <alignment vertical="center"/>
    </xf>
    <xf numFmtId="202" fontId="4" fillId="6" borderId="15" xfId="0" applyNumberFormat="1" applyFont="1" applyFill="1" applyBorder="1" applyAlignment="1">
      <alignment vertical="center"/>
    </xf>
    <xf numFmtId="201" fontId="4" fillId="6" borderId="15" xfId="0" applyNumberFormat="1" applyFont="1" applyFill="1" applyBorder="1" applyAlignment="1">
      <alignment vertical="center"/>
    </xf>
    <xf numFmtId="204" fontId="4" fillId="6" borderId="15" xfId="0" applyNumberFormat="1" applyFont="1" applyFill="1" applyBorder="1" applyAlignment="1">
      <alignment vertical="center"/>
    </xf>
    <xf numFmtId="205" fontId="4" fillId="6" borderId="15" xfId="0" applyNumberFormat="1" applyFont="1" applyFill="1" applyBorder="1" applyAlignment="1">
      <alignment vertical="center"/>
    </xf>
    <xf numFmtId="201" fontId="4" fillId="6" borderId="16" xfId="0" applyNumberFormat="1" applyFont="1" applyFill="1" applyBorder="1" applyAlignment="1">
      <alignment vertical="center"/>
    </xf>
    <xf numFmtId="201" fontId="4" fillId="6" borderId="17" xfId="0" applyNumberFormat="1" applyFont="1" applyFill="1" applyBorder="1" applyAlignment="1">
      <alignment vertical="center"/>
    </xf>
    <xf numFmtId="0" fontId="5" fillId="5" borderId="18" xfId="0" applyNumberFormat="1" applyFont="1" applyFill="1" applyBorder="1" applyAlignment="1">
      <alignment vertical="center"/>
    </xf>
    <xf numFmtId="0" fontId="5" fillId="5" borderId="19" xfId="0" applyNumberFormat="1" applyFont="1" applyFill="1" applyBorder="1" applyAlignment="1">
      <alignment vertical="center"/>
    </xf>
    <xf numFmtId="0" fontId="5" fillId="5" borderId="20" xfId="0" applyNumberFormat="1" applyFont="1" applyFill="1" applyBorder="1" applyAlignment="1">
      <alignment vertical="center"/>
    </xf>
    <xf numFmtId="0" fontId="5" fillId="5" borderId="21" xfId="0" applyNumberFormat="1" applyFont="1" applyFill="1" applyBorder="1" applyAlignment="1">
      <alignment vertical="center"/>
    </xf>
    <xf numFmtId="0" fontId="5" fillId="5" borderId="22" xfId="0" applyNumberFormat="1" applyFont="1" applyFill="1" applyBorder="1" applyAlignment="1">
      <alignment vertical="center"/>
    </xf>
    <xf numFmtId="0" fontId="5" fillId="5" borderId="23" xfId="0" applyNumberFormat="1" applyFont="1" applyFill="1" applyBorder="1" applyAlignment="1">
      <alignment vertical="center"/>
    </xf>
    <xf numFmtId="0" fontId="5" fillId="5" borderId="24" xfId="0" applyNumberFormat="1" applyFont="1" applyFill="1" applyBorder="1" applyAlignment="1">
      <alignment vertical="center"/>
    </xf>
    <xf numFmtId="0" fontId="5" fillId="5" borderId="25" xfId="0" applyNumberFormat="1" applyFont="1" applyFill="1" applyBorder="1" applyAlignment="1">
      <alignment vertical="center"/>
    </xf>
    <xf numFmtId="204" fontId="5" fillId="5" borderId="18" xfId="0" applyNumberFormat="1" applyFont="1" applyFill="1" applyBorder="1" applyAlignment="1">
      <alignment vertical="center"/>
    </xf>
    <xf numFmtId="204" fontId="5" fillId="5" borderId="19" xfId="0" applyNumberFormat="1" applyFont="1" applyFill="1" applyBorder="1" applyAlignment="1">
      <alignment vertical="center"/>
    </xf>
    <xf numFmtId="204" fontId="5" fillId="5" borderId="20" xfId="0" applyNumberFormat="1" applyFont="1" applyFill="1" applyBorder="1" applyAlignment="1">
      <alignment vertical="center"/>
    </xf>
    <xf numFmtId="204" fontId="5" fillId="5" borderId="21" xfId="0" applyNumberFormat="1" applyFont="1" applyFill="1" applyBorder="1" applyAlignment="1">
      <alignment vertical="center"/>
    </xf>
    <xf numFmtId="204" fontId="5" fillId="5" borderId="0" xfId="0" applyNumberFormat="1" applyFont="1" applyFill="1" applyBorder="1" applyAlignment="1">
      <alignment vertical="center"/>
    </xf>
    <xf numFmtId="204" fontId="5" fillId="5" borderId="22" xfId="0" applyNumberFormat="1" applyFont="1" applyFill="1" applyBorder="1" applyAlignment="1">
      <alignment vertical="center"/>
    </xf>
    <xf numFmtId="202" fontId="5" fillId="5" borderId="21" xfId="0" applyNumberFormat="1" applyFont="1" applyFill="1" applyBorder="1" applyAlignment="1">
      <alignment vertical="center"/>
    </xf>
    <xf numFmtId="202" fontId="5" fillId="5" borderId="0" xfId="0" applyNumberFormat="1" applyFont="1" applyFill="1" applyBorder="1" applyAlignment="1">
      <alignment vertical="center"/>
    </xf>
    <xf numFmtId="202" fontId="5" fillId="5" borderId="22" xfId="0" applyNumberFormat="1" applyFont="1" applyFill="1" applyBorder="1" applyAlignment="1">
      <alignment vertical="center"/>
    </xf>
    <xf numFmtId="204" fontId="5" fillId="5" borderId="23" xfId="0" applyNumberFormat="1" applyFont="1" applyFill="1" applyBorder="1" applyAlignment="1">
      <alignment vertical="center"/>
    </xf>
    <xf numFmtId="204" fontId="5" fillId="5" borderId="24" xfId="0" applyNumberFormat="1" applyFont="1" applyFill="1" applyBorder="1" applyAlignment="1">
      <alignment vertical="center"/>
    </xf>
    <xf numFmtId="204" fontId="5" fillId="5" borderId="25" xfId="0" applyNumberFormat="1" applyFont="1" applyFill="1" applyBorder="1" applyAlignment="1">
      <alignment vertical="center"/>
    </xf>
    <xf numFmtId="0" fontId="4" fillId="6" borderId="26" xfId="0" applyNumberFormat="1" applyFont="1" applyFill="1" applyBorder="1" applyAlignment="1">
      <alignment vertical="center"/>
    </xf>
    <xf numFmtId="0" fontId="4" fillId="6" borderId="27" xfId="0" applyNumberFormat="1" applyFont="1" applyFill="1" applyBorder="1" applyAlignment="1">
      <alignment vertical="center"/>
    </xf>
    <xf numFmtId="0" fontId="4" fillId="6" borderId="28" xfId="0" applyNumberFormat="1" applyFont="1" applyFill="1" applyBorder="1" applyAlignment="1">
      <alignment vertical="center"/>
    </xf>
    <xf numFmtId="0" fontId="4" fillId="6" borderId="29" xfId="0" applyNumberFormat="1" applyFont="1" applyFill="1" applyBorder="1" applyAlignment="1">
      <alignment vertical="center"/>
    </xf>
    <xf numFmtId="0" fontId="4" fillId="6" borderId="30" xfId="0" applyNumberFormat="1" applyFont="1" applyFill="1" applyBorder="1" applyAlignment="1">
      <alignment vertical="center"/>
    </xf>
    <xf numFmtId="0" fontId="4" fillId="6" borderId="31" xfId="0" applyNumberFormat="1" applyFont="1" applyFill="1" applyBorder="1" applyAlignment="1">
      <alignment vertical="center"/>
    </xf>
    <xf numFmtId="0" fontId="4" fillId="6" borderId="32" xfId="0" applyNumberFormat="1" applyFont="1" applyFill="1" applyBorder="1" applyAlignment="1">
      <alignment vertical="center"/>
    </xf>
    <xf numFmtId="0" fontId="4" fillId="6" borderId="33" xfId="0" applyNumberFormat="1" applyFont="1" applyFill="1" applyBorder="1" applyAlignment="1">
      <alignment vertical="center"/>
    </xf>
    <xf numFmtId="203" fontId="4" fillId="6" borderId="26" xfId="0" applyNumberFormat="1" applyFont="1" applyFill="1" applyBorder="1" applyAlignment="1">
      <alignment vertical="center"/>
    </xf>
    <xf numFmtId="203" fontId="4" fillId="6" borderId="27" xfId="0" applyNumberFormat="1" applyFont="1" applyFill="1" applyBorder="1" applyAlignment="1">
      <alignment vertical="center"/>
    </xf>
    <xf numFmtId="203" fontId="4" fillId="6" borderId="28" xfId="0" applyNumberFormat="1" applyFont="1" applyFill="1" applyBorder="1" applyAlignment="1">
      <alignment vertical="center"/>
    </xf>
    <xf numFmtId="201" fontId="4" fillId="6" borderId="29" xfId="0" applyNumberFormat="1" applyFont="1" applyFill="1" applyBorder="1" applyAlignment="1">
      <alignment vertical="center"/>
    </xf>
    <xf numFmtId="201" fontId="4" fillId="6" borderId="0" xfId="0" applyNumberFormat="1" applyFont="1" applyFill="1" applyBorder="1" applyAlignment="1">
      <alignment vertical="center"/>
    </xf>
    <xf numFmtId="201" fontId="4" fillId="6" borderId="30" xfId="0" applyNumberFormat="1" applyFont="1" applyFill="1" applyBorder="1" applyAlignment="1">
      <alignment vertical="center"/>
    </xf>
    <xf numFmtId="203" fontId="4" fillId="6" borderId="29" xfId="0" applyNumberFormat="1" applyFont="1" applyFill="1" applyBorder="1" applyAlignment="1">
      <alignment vertical="center"/>
    </xf>
    <xf numFmtId="203" fontId="4" fillId="6" borderId="0" xfId="0" applyNumberFormat="1" applyFont="1" applyFill="1" applyBorder="1" applyAlignment="1">
      <alignment vertical="center"/>
    </xf>
    <xf numFmtId="203" fontId="4" fillId="6" borderId="30" xfId="0" applyNumberFormat="1" applyFont="1" applyFill="1" applyBorder="1" applyAlignment="1">
      <alignment vertical="center"/>
    </xf>
    <xf numFmtId="204" fontId="4" fillId="6" borderId="29" xfId="0" applyNumberFormat="1" applyFont="1" applyFill="1" applyBorder="1" applyAlignment="1">
      <alignment vertical="center"/>
    </xf>
    <xf numFmtId="204" fontId="4" fillId="6" borderId="0" xfId="0" applyNumberFormat="1" applyFont="1" applyFill="1" applyBorder="1" applyAlignment="1">
      <alignment vertical="center"/>
    </xf>
    <xf numFmtId="204" fontId="4" fillId="6" borderId="30" xfId="0" applyNumberFormat="1" applyFont="1" applyFill="1" applyBorder="1" applyAlignment="1">
      <alignment vertical="center"/>
    </xf>
    <xf numFmtId="203" fontId="4" fillId="6" borderId="31" xfId="0" applyNumberFormat="1" applyFont="1" applyFill="1" applyBorder="1" applyAlignment="1">
      <alignment vertical="center"/>
    </xf>
    <xf numFmtId="203" fontId="4" fillId="6" borderId="32" xfId="0" applyNumberFormat="1" applyFont="1" applyFill="1" applyBorder="1" applyAlignment="1">
      <alignment vertical="center"/>
    </xf>
    <xf numFmtId="203" fontId="4" fillId="6" borderId="33" xfId="0" applyNumberFormat="1" applyFont="1" applyFill="1" applyBorder="1" applyAlignment="1">
      <alignment vertical="center"/>
    </xf>
    <xf numFmtId="204" fontId="5" fillId="5" borderId="34" xfId="0" applyNumberFormat="1" applyFont="1" applyFill="1" applyBorder="1" applyAlignment="1">
      <alignment vertical="center"/>
    </xf>
    <xf numFmtId="204" fontId="5" fillId="5" borderId="2" xfId="0" applyNumberFormat="1" applyFont="1" applyFill="1" applyBorder="1" applyAlignment="1">
      <alignment vertical="center"/>
    </xf>
    <xf numFmtId="203" fontId="4" fillId="6" borderId="35" xfId="0" applyNumberFormat="1" applyFont="1" applyFill="1" applyBorder="1" applyAlignment="1">
      <alignment vertical="center"/>
    </xf>
    <xf numFmtId="203" fontId="4" fillId="6" borderId="2" xfId="0" applyNumberFormat="1" applyFont="1" applyFill="1" applyBorder="1" applyAlignment="1">
      <alignment vertical="center"/>
    </xf>
    <xf numFmtId="202" fontId="4" fillId="6" borderId="27" xfId="0" applyNumberFormat="1" applyFont="1" applyFill="1" applyBorder="1" applyAlignment="1">
      <alignment vertical="center"/>
    </xf>
    <xf numFmtId="202" fontId="4" fillId="6" borderId="0" xfId="0" applyNumberFormat="1" applyFont="1" applyFill="1" applyBorder="1" applyAlignment="1">
      <alignment vertical="center"/>
    </xf>
    <xf numFmtId="202" fontId="4" fillId="6" borderId="32" xfId="0" applyNumberFormat="1" applyFont="1" applyFill="1" applyBorder="1" applyAlignment="1">
      <alignment vertical="center"/>
    </xf>
    <xf numFmtId="201" fontId="4" fillId="6" borderId="27" xfId="0" applyNumberFormat="1" applyFont="1" applyFill="1" applyBorder="1" applyAlignment="1">
      <alignment vertical="center"/>
    </xf>
    <xf numFmtId="201" fontId="4" fillId="6" borderId="32" xfId="0" applyNumberFormat="1" applyFont="1" applyFill="1" applyBorder="1" applyAlignment="1">
      <alignment vertical="center"/>
    </xf>
    <xf numFmtId="202" fontId="4" fillId="6" borderId="2" xfId="0" applyNumberFormat="1" applyFont="1" applyFill="1" applyBorder="1" applyAlignment="1">
      <alignment vertical="center"/>
    </xf>
    <xf numFmtId="201" fontId="4" fillId="6" borderId="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3130f74234d9d" /><Relationship Type="http://schemas.openxmlformats.org/officeDocument/2006/relationships/theme" Target="/xl/theme/theme1.xml" Id="R80d41933a2a3437c" /><Relationship Type="http://schemas.openxmlformats.org/officeDocument/2006/relationships/sharedStrings" Target="/xl/sharedStrings.xml" Id="Rb6d4085943254fba" /><Relationship Type="http://schemas.openxmlformats.org/officeDocument/2006/relationships/worksheet" Target="/xl/worksheets/sheet1.xml" Id="Ra24f1d7d55c84c42" /><Relationship Type="http://schemas.openxmlformats.org/officeDocument/2006/relationships/worksheet" Target="/xl/worksheets/sheet2.xml" Id="Ra96cb1497063467f" /><Relationship Type="http://schemas.openxmlformats.org/officeDocument/2006/relationships/worksheet" Target="/xl/worksheets/sheet3.xml" Id="Rdf0ef3383a4f41c1" /><Relationship Type="http://schemas.openxmlformats.org/officeDocument/2006/relationships/worksheet" Target="/xl/worksheets/sheet4.xml" Id="R776c2c9dce47406d" /><Relationship Type="http://schemas.openxmlformats.org/officeDocument/2006/relationships/worksheet" Target="/xl/worksheets/sheet5.xml" Id="Rf8bf58c24e234f13" /><Relationship Type="http://schemas.openxmlformats.org/officeDocument/2006/relationships/worksheet" Target="/xl/worksheets/sheet6.xml" Id="Rbfb116b1254f4e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1" hidden="0" customWidth="1"/>
    <col min="2" max="2" width="2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</cols>
  <sheetData>
    <row r="1" ht="36" customHeight="1">
      <c r="A1" s="4" t="str">
        <v>Юнит-экономика: услуги</v>
      </c>
      <c r="B1" s="4"/>
      <c r="C1" s="4"/>
      <c r="D1" s="4"/>
      <c r="E1" s="4"/>
      <c r="F1" s="4"/>
    </row>
    <row r="2" ht="34" customHeight="1">
      <c r="A2" s="7" t="str">
        <v>Шаблон Aksanov.Digital - вводные выделены желтым, расчеты выполняются формулами</v>
      </c>
      <c r="B2" s="7"/>
      <c r="C2" s="7"/>
      <c r="D2" s="7"/>
      <c r="E2" s="7"/>
      <c r="F2" s="7"/>
    </row>
    <row r="3">
      <c r="A3" s="2"/>
      <c r="B3" s="2"/>
      <c r="C3" s="2"/>
      <c r="D3" s="2"/>
      <c r="E3" s="2"/>
      <c r="F3" s="2"/>
    </row>
    <row r="4">
      <c r="A4" s="10" t="str">
        <v>Как работать</v>
      </c>
      <c r="B4" s="10"/>
      <c r="C4" s="10"/>
      <c r="D4" s="10"/>
      <c r="E4" s="10"/>
      <c r="F4" s="10"/>
    </row>
    <row r="5" ht="34" customHeight="1">
      <c r="A5" s="13" t="str">
        <v>1</v>
      </c>
      <c r="B5" s="11" t="str">
        <v>Заполните «Вводные»</v>
      </c>
      <c r="C5" s="14" t="str">
        <v>Замените примерные значения фактическими данными одной валюты.</v>
      </c>
      <c r="D5" s="14"/>
      <c r="E5" s="14"/>
      <c r="F5" s="14"/>
    </row>
    <row r="6" ht="34" customHeight="1">
      <c r="A6" s="13" t="str">
        <v>2</v>
      </c>
      <c r="B6" s="11" t="str">
        <v>Проверьте юнит</v>
      </c>
      <c r="C6" s="14" t="str">
        <v>Ключевые показатели, границы цены привлечения и точка безубыточности собраны на одном листе.</v>
      </c>
      <c r="D6" s="14"/>
      <c r="E6" s="14"/>
      <c r="F6" s="14"/>
    </row>
    <row r="7" ht="34" customHeight="1">
      <c r="A7" s="13" t="str">
        <v>3</v>
      </c>
      <c r="B7" s="11" t="str">
        <v>Сравните сценарии</v>
      </c>
      <c r="C7" s="14" t="str">
        <v>Измените желтые коэффициенты для пессимистичного и целевого вариантов.</v>
      </c>
      <c r="D7" s="14"/>
      <c r="E7" s="14"/>
      <c r="F7" s="14"/>
    </row>
    <row r="8" ht="34" customHeight="1">
      <c r="A8" s="13" t="str">
        <v>4</v>
      </c>
      <c r="B8" s="11" t="str">
        <v>Посмотрите 12 месяцев</v>
      </c>
      <c r="C8" s="14" t="str">
        <v>Помесячный прогноз использует заданные темпы роста без сезонности.</v>
      </c>
      <c r="D8" s="14"/>
      <c r="E8" s="14"/>
      <c r="F8" s="14"/>
    </row>
    <row r="9" ht="34" customHeight="1">
      <c r="A9" s="13" t="str">
        <v>5</v>
      </c>
      <c r="B9" s="11" t="str">
        <v>Сверьте определения</v>
      </c>
      <c r="C9" s="14" t="str">
        <v>Формулы и ограничения собраны на листе «Справка».</v>
      </c>
      <c r="D9" s="14"/>
      <c r="E9" s="14"/>
      <c r="F9" s="14"/>
    </row>
    <row r="10">
      <c r="A10" s="2"/>
      <c r="B10" s="2"/>
      <c r="C10" s="2"/>
      <c r="D10" s="2"/>
      <c r="E10" s="2"/>
      <c r="F10" s="2"/>
    </row>
    <row r="11">
      <c r="A11" s="10" t="str">
        <v>Граница модели</v>
      </c>
      <c r="B11" s="10"/>
      <c r="C11" s="10"/>
      <c r="D11" s="10"/>
      <c r="E11" s="10"/>
      <c r="F11" s="10"/>
    </row>
    <row r="12" ht="36" customHeight="1">
      <c r="A12" s="15" t="str">
        <v>Единица</v>
      </c>
      <c r="B12" s="14" t="str">
        <v>Один новый клиент и его первый оплаченный проект. Повторные проекты учитываются в LTV.</v>
      </c>
      <c r="C12" s="14"/>
      <c r="D12" s="14"/>
      <c r="E12" s="14"/>
      <c r="F12" s="14"/>
    </row>
    <row r="13" ht="36" customHeight="1">
      <c r="A13" s="15" t="str">
        <v>Область расчета</v>
      </c>
      <c r="B13" s="14" t="str">
        <v>Юнит и текущий месячный объем</v>
      </c>
      <c r="C13" s="14"/>
      <c r="D13" s="14"/>
      <c r="E13" s="14"/>
      <c r="F13" s="14"/>
    </row>
    <row r="14" ht="36" customHeight="1">
      <c r="A14" s="15" t="str">
        <v>Источник</v>
      </c>
      <c r="B14" s="14" t="str">
        <v>unit-economics-facts.md, Knowledge, 07.07.2026</v>
      </c>
      <c r="C14" s="14"/>
      <c r="D14" s="14"/>
      <c r="E14" s="14"/>
      <c r="F14" s="14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5" t="str">
        <v>Модель подходит для агентств, студий, консалтинга и проектных услуг. Если команда продает часы, проектную цену можно заменить выручкой одного пакета работ.</v>
      </c>
      <c r="B17" s="26"/>
      <c r="C17" s="26"/>
      <c r="D17" s="26"/>
      <c r="E17" s="26"/>
      <c r="F17" s="27"/>
    </row>
    <row r="18">
      <c r="A18" s="28"/>
      <c r="B18" s="29"/>
      <c r="C18" s="29"/>
      <c r="D18" s="29"/>
      <c r="E18" s="29"/>
      <c r="F18" s="30"/>
    </row>
    <row r="19">
      <c r="A19" s="31"/>
      <c r="B19" s="32"/>
      <c r="C19" s="32"/>
      <c r="D19" s="32"/>
      <c r="E19" s="32"/>
      <c r="F19" s="33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</sheetData>
  <mergeCells>
    <mergeCell ref="A1:F1"/>
    <mergeCell ref="A2:F2"/>
    <mergeCell ref="A4:F4"/>
    <mergeCell ref="C5:F5"/>
    <mergeCell ref="C6:F6"/>
    <mergeCell ref="C7:F7"/>
    <mergeCell ref="C8:F8"/>
    <mergeCell ref="C9:F9"/>
    <mergeCell ref="A11:F11"/>
    <mergeCell ref="B12:F12"/>
    <mergeCell ref="B13:F13"/>
    <mergeCell ref="B14:F14"/>
    <mergeCell ref="A17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8" hidden="0" customWidth="1"/>
    <col min="2" max="2" width="18" hidden="0" customWidth="1"/>
    <col min="3" max="3" width="23" hidden="0" customWidth="1"/>
    <col min="4" max="4" width="48" hidden="0" customWidth="1"/>
  </cols>
  <sheetData>
    <row r="1" ht="36" customHeight="1">
      <c r="A1" s="4" t="str">
        <v>Вводные: услуги</v>
      </c>
      <c r="B1" s="4"/>
      <c r="C1" s="4"/>
      <c r="D1" s="4"/>
    </row>
    <row r="2" ht="34" customHeight="1">
      <c r="A2" s="7" t="str">
        <v>Меняйте только желтые ячейки. Денежные значения должны быть в одной валюте.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Параметр</v>
      </c>
      <c r="B4" s="35" t="str">
        <v>Значение</v>
      </c>
      <c r="C4" s="35" t="str">
        <v>Единица</v>
      </c>
      <c r="D4" s="35" t="str">
        <v>Как понимать</v>
      </c>
    </row>
    <row r="5" ht="28" customHeight="1">
      <c r="A5" s="2" t="str">
        <v>Валюта</v>
      </c>
      <c r="B5" s="39" t="str">
        <v>USD</v>
      </c>
      <c r="C5" s="2" t="str">
        <v>код</v>
      </c>
      <c r="D5" s="49" t="str">
        <v>USD, EUR, KZT, UZS, AED или RUB</v>
      </c>
    </row>
    <row r="6" ht="28" customHeight="1">
      <c r="A6" s="2" t="str">
        <v>Средняя выручка проекта</v>
      </c>
      <c r="B6" s="41" t="n">
        <v>2500</v>
      </c>
      <c r="C6" s="2" t="str">
        <v>за проект</v>
      </c>
      <c r="D6" s="49" t="str">
        <v>Цена первого проекта</v>
      </c>
    </row>
    <row r="7" ht="28" customHeight="1">
      <c r="A7" s="2" t="str">
        <v>Часов команды на проект</v>
      </c>
      <c r="B7" s="42" t="n">
        <v>45</v>
      </c>
      <c r="C7" s="2" t="str">
        <v>часов</v>
      </c>
      <c r="D7" s="49" t="str">
        <v>Все роли по проекту</v>
      </c>
    </row>
    <row r="8" ht="28" customHeight="1">
      <c r="A8" s="2" t="str">
        <v>Полная стоимость часа</v>
      </c>
      <c r="B8" s="41" t="n">
        <v>22</v>
      </c>
      <c r="C8" s="2" t="str">
        <v>за час</v>
      </c>
      <c r="D8" s="49" t="str">
        <v>Зарплата, налоги и обязательные расходы</v>
      </c>
    </row>
    <row r="9" ht="28" customHeight="1">
      <c r="A9" s="2" t="str">
        <v>Подрядчики и материалы</v>
      </c>
      <c r="B9" s="41" t="n">
        <v>260</v>
      </c>
      <c r="C9" s="2" t="str">
        <v>за проект</v>
      </c>
      <c r="D9" s="49" t="str">
        <v>Внешние исполнители и закупки</v>
      </c>
    </row>
    <row r="10" ht="28" customHeight="1">
      <c r="A10" s="2" t="str">
        <v>Комиссия платежей</v>
      </c>
      <c r="B10" s="43" t="n">
        <v>0.025</v>
      </c>
      <c r="C10" s="2" t="str">
        <v>% выручки</v>
      </c>
      <c r="D10" s="49" t="str">
        <v>Эквайринг и переводы</v>
      </c>
    </row>
    <row r="11" ht="28" customHeight="1">
      <c r="A11" s="2" t="str">
        <v>Налог с выручки</v>
      </c>
      <c r="B11" s="43" t="n">
        <v>0.06</v>
      </c>
      <c r="C11" s="2" t="str">
        <v>% выручки</v>
      </c>
      <c r="D11" s="49" t="str">
        <v>Ставка вашей системы</v>
      </c>
    </row>
    <row r="12" ht="28" customHeight="1">
      <c r="A12" s="2" t="str">
        <v>Прочие переменные расходы</v>
      </c>
      <c r="B12" s="41" t="n">
        <v>90</v>
      </c>
      <c r="C12" s="2" t="str">
        <v>за проект</v>
      </c>
      <c r="D12" s="49" t="str">
        <v>Сервисы, поездки, бонусы</v>
      </c>
    </row>
    <row r="13" ht="28" customHeight="1">
      <c r="A13" s="2" t="str">
        <v>Маркетинг и продажи в месяц</v>
      </c>
      <c r="B13" s="41" t="n">
        <v>6000</v>
      </c>
      <c r="C13" s="2" t="str">
        <v>в месяц</v>
      </c>
      <c r="D13" s="49" t="str">
        <v>Полные расходы на привлечение</v>
      </c>
    </row>
    <row r="14" ht="28" customHeight="1">
      <c r="A14" s="2" t="str">
        <v>Лидов в месяц</v>
      </c>
      <c r="B14" s="44" t="n">
        <v>60</v>
      </c>
      <c r="C14" s="2" t="str">
        <v>лидов</v>
      </c>
      <c r="D14" s="49" t="str">
        <v>Квалифицированные входящие лиды</v>
      </c>
    </row>
    <row r="15" ht="28" customHeight="1">
      <c r="A15" s="2" t="str">
        <v>Конверсия лида в клиента</v>
      </c>
      <c r="B15" s="43" t="n">
        <v>0.2</v>
      </c>
      <c r="C15" s="2" t="str">
        <v>%</v>
      </c>
      <c r="D15" s="49" t="str">
        <v>Оплаченные первые проекты к лидам</v>
      </c>
    </row>
    <row r="16" ht="28" customHeight="1">
      <c r="A16" s="2" t="str">
        <v>Проектов на клиента за срок жизни</v>
      </c>
      <c r="B16" s="41" t="n">
        <v>1.8</v>
      </c>
      <c r="C16" s="2" t="str">
        <v>проекта</v>
      </c>
      <c r="D16" s="49" t="str">
        <v>Первый и повторные проекты</v>
      </c>
    </row>
    <row r="17" ht="28" customHeight="1">
      <c r="A17" s="2" t="str">
        <v>Постоянные расходы в месяц</v>
      </c>
      <c r="B17" s="41" t="n">
        <v>9000</v>
      </c>
      <c r="C17" s="2" t="str">
        <v>в месяц</v>
      </c>
      <c r="D17" s="49" t="str">
        <v>Управление, офис и постоянные сервисы</v>
      </c>
    </row>
    <row r="18" ht="28" customHeight="1">
      <c r="A18" s="2" t="str">
        <v>Мощность команды</v>
      </c>
      <c r="B18" s="44" t="n">
        <v>15</v>
      </c>
      <c r="C18" s="2" t="str">
        <v>проектов / месяц</v>
      </c>
      <c r="D18" s="49" t="str">
        <v>Максимум без расширения команды</v>
      </c>
    </row>
    <row r="19" ht="28" customHeight="1">
      <c r="A19" s="2" t="str">
        <v>Рост лидов в месяц</v>
      </c>
      <c r="B19" s="43" t="n">
        <v>0.04</v>
      </c>
      <c r="C19" s="2" t="str">
        <v>%</v>
      </c>
      <c r="D19" s="49" t="str">
        <v>Для прогноза на год</v>
      </c>
    </row>
    <row r="20" ht="28" customHeight="1">
      <c r="A20" s="11" t="str">
        <v>Рост цены в месяц</v>
      </c>
      <c r="B20" s="46" t="n">
        <v>0</v>
      </c>
      <c r="C20" s="11" t="str">
        <v>%</v>
      </c>
      <c r="D20" s="50" t="str">
        <v>Для прогноза на год</v>
      </c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5" t="str">
        <v>Лиды и конверсия должны относиться к одному периоду и одинаковому определению квалифицированного лида.</v>
      </c>
      <c r="B23" s="26"/>
      <c r="C23" s="26"/>
      <c r="D23" s="27"/>
    </row>
    <row r="24">
      <c r="A24" s="28"/>
      <c r="B24" s="29"/>
      <c r="C24" s="29"/>
      <c r="D24" s="30"/>
    </row>
    <row r="25">
      <c r="A25" s="31"/>
      <c r="B25" s="32"/>
      <c r="C25" s="32"/>
      <c r="D25" s="33"/>
    </row>
    <row r="26">
      <c r="A26" s="2"/>
      <c r="B26" s="2"/>
      <c r="C26" s="2"/>
      <c r="D26" s="2"/>
    </row>
  </sheetData>
  <mergeCells>
    <mergeCell ref="A1:D1"/>
    <mergeCell ref="A2:D2"/>
    <mergeCell ref="A23:D25"/>
  </mergeCells>
  <dataValidations count="1">
    <dataValidation type="list" sqref="B5">
      <formula1>"USD,EUR,KZT,UZS,AED,RUB"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0" hidden="0" customWidth="1"/>
    <col min="2" max="2" width="19" hidden="0" customWidth="1"/>
    <col min="3" max="3" width="20" hidden="0" customWidth="1"/>
    <col min="4" max="4" width="50" hidden="0" customWidth="1"/>
  </cols>
  <sheetData>
    <row r="1" ht="36" customHeight="1">
      <c r="A1" s="4" t="str">
        <v>Юнит-экономика: услуги</v>
      </c>
      <c r="B1" s="4"/>
      <c r="C1" s="4"/>
      <c r="D1" s="4"/>
    </row>
    <row r="2" ht="34" customHeight="1">
      <c r="A2" s="7" t="str">
        <v>Расчет на первый проект нового клиента и на текущую воронку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Показатель</v>
      </c>
      <c r="B4" s="35" t="str">
        <v>Результат</v>
      </c>
      <c r="C4" s="35" t="str">
        <v>Единица</v>
      </c>
      <c r="D4" s="35" t="str">
        <v>Смысл</v>
      </c>
    </row>
    <row r="5" ht="28" customHeight="1">
      <c r="A5" s="2" t="str">
        <v>Выручка проекта</v>
      </c>
      <c r="B5" s="57" t="n">
        <f>'Вводные'!B6</f>
        <v>2500</v>
      </c>
      <c r="C5" s="2" t="str">
        <v>за проект</v>
      </c>
      <c r="D5" s="49" t="str">
        <v>Средняя цена первого проекта</v>
      </c>
    </row>
    <row r="6" ht="28" customHeight="1">
      <c r="A6" s="2" t="str">
        <v>Стоимость работы команды</v>
      </c>
      <c r="B6" s="57" t="n">
        <f>'Вводные'!B7*'Вводные'!B8</f>
        <v>990</v>
      </c>
      <c r="C6" s="2" t="str">
        <v>за проект</v>
      </c>
      <c r="D6" s="49" t="str">
        <v>Часы на полную стоимость часа</v>
      </c>
    </row>
    <row r="7" ht="28" customHeight="1">
      <c r="A7" s="2" t="str">
        <v>Комиссия платежей</v>
      </c>
      <c r="B7" s="57" t="n">
        <f>B5*'Вводные'!B10</f>
        <v>62.5</v>
      </c>
      <c r="C7" s="2" t="str">
        <v>за проект</v>
      </c>
      <c r="D7" s="49" t="str">
        <v>Комиссия с выручки</v>
      </c>
    </row>
    <row r="8" ht="28" customHeight="1">
      <c r="A8" s="2" t="str">
        <v>Налог</v>
      </c>
      <c r="B8" s="57" t="n">
        <f>B5*'Вводные'!B11</f>
        <v>150</v>
      </c>
      <c r="C8" s="2" t="str">
        <v>за проект</v>
      </c>
      <c r="D8" s="49" t="str">
        <v>Налог с выручки</v>
      </c>
    </row>
    <row r="9" ht="28" customHeight="1">
      <c r="A9" s="2" t="str">
        <v>Прочие прямые расходы</v>
      </c>
      <c r="B9" s="57" t="n">
        <f>'Вводные'!B9+'Вводные'!B12</f>
        <v>350</v>
      </c>
      <c r="C9" s="2" t="str">
        <v>за проект</v>
      </c>
      <c r="D9" s="49" t="str">
        <v>Подрядчики, материалы и переменные сервисы</v>
      </c>
    </row>
    <row r="10" ht="28" customHeight="1">
      <c r="A10" s="2" t="str">
        <v>CM1 до привлечения</v>
      </c>
      <c r="B10" s="57" t="n">
        <f>B5-B6-B7-B8-B9</f>
        <v>947.5</v>
      </c>
      <c r="C10" s="2" t="str">
        <v>за проект</v>
      </c>
      <c r="D10" s="49" t="str">
        <v>Маржа до маркетинга</v>
      </c>
    </row>
    <row r="11" ht="28" customHeight="1">
      <c r="A11" s="2" t="str">
        <v>CM1, %</v>
      </c>
      <c r="B11" s="58" t="n">
        <f>IF(B5=0,0,B10/B5)</f>
        <v>0.379</v>
      </c>
      <c r="C11" s="2" t="str">
        <v>%</v>
      </c>
      <c r="D11" s="49" t="str">
        <v>Маржа до привлечения</v>
      </c>
    </row>
    <row r="12" ht="28" customHeight="1">
      <c r="A12" s="2" t="str">
        <v>Новых клиентов в месяц</v>
      </c>
      <c r="B12" s="59" t="n">
        <f>'Вводные'!B14*'Вводные'!B15</f>
        <v>12</v>
      </c>
      <c r="C12" s="2" t="str">
        <v>клиентов</v>
      </c>
      <c r="D12" s="49" t="str">
        <v>Лиды на конверсию</v>
      </c>
    </row>
    <row r="13" ht="28" customHeight="1">
      <c r="A13" s="2" t="str">
        <v>CAC</v>
      </c>
      <c r="B13" s="57" t="n">
        <f>IF(B12=0,0,'Вводные'!B13/B12)</f>
        <v>500</v>
      </c>
      <c r="C13" s="2" t="str">
        <v>на клиента</v>
      </c>
      <c r="D13" s="49" t="str">
        <v>Маркетинг и продажи на нового клиента</v>
      </c>
    </row>
    <row r="14" ht="28" customHeight="1">
      <c r="A14" s="2" t="str">
        <v>CM2 после привлечения</v>
      </c>
      <c r="B14" s="57" t="n">
        <f>B10-B13</f>
        <v>447.5</v>
      </c>
      <c r="C14" s="2" t="str">
        <v>за проект</v>
      </c>
      <c r="D14" s="49" t="str">
        <v>Прибыль первого проекта после CAC</v>
      </c>
    </row>
    <row r="15" ht="28" customHeight="1">
      <c r="A15" s="2" t="str">
        <v>CM2, %</v>
      </c>
      <c r="B15" s="58" t="n">
        <f>IF(B5=0,0,B14/B5)</f>
        <v>0.179</v>
      </c>
      <c r="C15" s="2" t="str">
        <v>%</v>
      </c>
      <c r="D15" s="49" t="str">
        <v>Маржа первого проекта после CAC</v>
      </c>
    </row>
    <row r="16" ht="28" customHeight="1">
      <c r="A16" s="2" t="str">
        <v>Максимальный CAC</v>
      </c>
      <c r="B16" s="57" t="n">
        <f>B10</f>
        <v>947.5</v>
      </c>
      <c r="C16" s="2" t="str">
        <v>на клиента</v>
      </c>
      <c r="D16" s="49" t="str">
        <v>Граница до постоянных расходов</v>
      </c>
    </row>
    <row r="17" ht="28" customHeight="1">
      <c r="A17" s="2" t="str">
        <v>Максимальный CPL</v>
      </c>
      <c r="B17" s="57" t="n">
        <f>B10*'Вводные'!B15</f>
        <v>189.5</v>
      </c>
      <c r="C17" s="2" t="str">
        <v>на лид</v>
      </c>
      <c r="D17" s="49" t="str">
        <v>Граница цены лида при текущей конверсии</v>
      </c>
    </row>
    <row r="18" ht="28" customHeight="1">
      <c r="A18" s="2" t="str">
        <v>Profit-LTV до привлечения</v>
      </c>
      <c r="B18" s="57" t="n">
        <f>B10*'Вводные'!B16</f>
        <v>1705.5</v>
      </c>
      <c r="C18" s="2" t="str">
        <v>на клиента</v>
      </c>
      <c r="D18" s="49" t="str">
        <v>Маржа всех проектов клиента</v>
      </c>
    </row>
    <row r="19" ht="28" customHeight="1">
      <c r="A19" s="2" t="str">
        <v>LTV / CAC</v>
      </c>
      <c r="B19" s="60" t="n">
        <f>IF(B13=0,0,B18/B13)</f>
        <v>3.411</v>
      </c>
      <c r="C19" s="2" t="str">
        <v>x</v>
      </c>
      <c r="D19" s="49" t="str">
        <v>Запас прибыли относительно привлечения</v>
      </c>
    </row>
    <row r="20" ht="28" customHeight="1">
      <c r="A20" s="2" t="str">
        <v>Окупаемость CAC</v>
      </c>
      <c r="B20" s="61" t="n">
        <f>IF(B10&lt;=0,0,B13/B10)</f>
        <v>0.5277044854881267</v>
      </c>
      <c r="C20" s="2" t="str">
        <v>проекта</v>
      </c>
      <c r="D20" s="49" t="str">
        <v>Число проектов для возврата CAC</v>
      </c>
    </row>
    <row r="21" ht="28" customHeight="1">
      <c r="A21" s="2" t="str">
        <v>Проектов в месяц с учетом мощности</v>
      </c>
      <c r="B21" s="59" t="n">
        <f>MIN(B12,'Вводные'!B18)</f>
        <v>12</v>
      </c>
      <c r="C21" s="2" t="str">
        <v>проектов</v>
      </c>
      <c r="D21" s="49" t="str">
        <v>Новые клиенты, ограниченные мощностью</v>
      </c>
    </row>
    <row r="22" ht="28" customHeight="1">
      <c r="A22" s="2" t="str">
        <v>Загрузка мощности</v>
      </c>
      <c r="B22" s="58" t="n">
        <f>IF('Вводные'!B18=0,0,MIN(1,B12/'Вводные'!B18))</f>
        <v>0.8</v>
      </c>
      <c r="C22" s="2" t="str">
        <v>%</v>
      </c>
      <c r="D22" s="49" t="str">
        <v>Доля доступной мощности</v>
      </c>
    </row>
    <row r="23" ht="28" customHeight="1">
      <c r="A23" s="2" t="str">
        <v>Операционная прибыль в месяц</v>
      </c>
      <c r="B23" s="57" t="n">
        <f>B10*B21-'Вводные'!B13-'Вводные'!B17</f>
        <v>-3630</v>
      </c>
      <c r="C23" s="2" t="str">
        <v>в месяц</v>
      </c>
      <c r="D23" s="49" t="str">
        <v>После привлечения и постоянных расходов</v>
      </c>
    </row>
    <row r="24" ht="28" customHeight="1">
      <c r="A24" s="2" t="str">
        <v>Проектов для безубыточности</v>
      </c>
      <c r="B24" s="57" t="n">
        <f>IF(B10&lt;=0,0,ROUNDUP(('Вводные'!B13+'Вводные'!B17)/B10,0))</f>
        <v>16</v>
      </c>
      <c r="C24" s="2" t="str">
        <v>проектов</v>
      </c>
      <c r="D24" s="49" t="str">
        <v>Объем для покрытия маркетинга и постоянных расходов</v>
      </c>
    </row>
    <row r="25" ht="28" customHeight="1">
      <c r="A25" s="11" t="str">
        <v>Клиентов сверх мощности</v>
      </c>
      <c r="B25" s="63" t="n">
        <f>MAX(0,B12-'Вводные'!B18)</f>
        <v>0</v>
      </c>
      <c r="C25" s="11" t="str">
        <v>клиентов</v>
      </c>
      <c r="D25" s="50" t="str">
        <v>Потенциальные сделки без свободной мощности</v>
      </c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5" t="str">
        <v>Если продажи превышают мощность команды, рост лидов не увеличит прибыль без расширения производства или изменения цены.</v>
      </c>
      <c r="B28" s="26"/>
      <c r="C28" s="26"/>
      <c r="D28" s="27"/>
    </row>
    <row r="29">
      <c r="A29" s="28"/>
      <c r="B29" s="29"/>
      <c r="C29" s="29"/>
      <c r="D29" s="30"/>
    </row>
    <row r="30">
      <c r="A30" s="31"/>
      <c r="B30" s="32"/>
      <c r="C30" s="32"/>
      <c r="D30" s="33"/>
    </row>
    <row r="31">
      <c r="A31" s="2"/>
      <c r="B31" s="2"/>
      <c r="C31" s="2"/>
      <c r="D31" s="2"/>
    </row>
  </sheetData>
  <mergeCells>
    <mergeCell ref="A1:D1"/>
    <mergeCell ref="A2:D2"/>
    <mergeCell ref="A28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2" hidden="0" customWidth="1"/>
    <col min="2" max="2" width="19" hidden="0" customWidth="1"/>
    <col min="3" max="3" width="19" hidden="0" customWidth="1"/>
    <col min="4" max="4" width="19" hidden="0" customWidth="1"/>
  </cols>
  <sheetData>
    <row r="1" ht="36" customHeight="1">
      <c r="A1" s="4" t="str">
        <v>Сценарии: услуги</v>
      </c>
      <c r="B1" s="4"/>
      <c r="C1" s="4"/>
      <c r="D1" s="4"/>
    </row>
    <row r="2" ht="34" customHeight="1">
      <c r="A2" s="7" t="str">
        <v>Желтые ячейки - управляемые допущения. 1,00 означает текущее значение.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Допущение</v>
      </c>
      <c r="B4" s="35" t="str">
        <v>Базовый</v>
      </c>
      <c r="C4" s="35" t="str">
        <v>Пессимистичный</v>
      </c>
      <c r="D4" s="35" t="str">
        <v>Целевой</v>
      </c>
    </row>
    <row r="5">
      <c r="A5" s="2" t="str">
        <v>Цена проекта, коэффициент</v>
      </c>
      <c r="B5" s="75" t="n">
        <v>1</v>
      </c>
      <c r="C5" s="76" t="n">
        <v>0.9</v>
      </c>
      <c r="D5" s="76" t="n">
        <v>1.1</v>
      </c>
    </row>
    <row r="6">
      <c r="A6" s="2" t="str">
        <v>Часы на проект, коэффициент</v>
      </c>
      <c r="B6" s="75" t="n">
        <v>1</v>
      </c>
      <c r="C6" s="76" t="n">
        <v>1.15</v>
      </c>
      <c r="D6" s="76" t="n">
        <v>0.9</v>
      </c>
    </row>
    <row r="7">
      <c r="A7" s="2" t="str">
        <v>Стоимость часа, коэффициент</v>
      </c>
      <c r="B7" s="75" t="n">
        <v>1</v>
      </c>
      <c r="C7" s="76" t="n">
        <v>1.1</v>
      </c>
      <c r="D7" s="76" t="n">
        <v>1</v>
      </c>
    </row>
    <row r="8">
      <c r="A8" s="2" t="str">
        <v>Конверсия, изменение п.п.</v>
      </c>
      <c r="B8" s="78" t="n">
        <v>0</v>
      </c>
      <c r="C8" s="79" t="n">
        <v>-0.05</v>
      </c>
      <c r="D8" s="79" t="n">
        <v>0.05</v>
      </c>
    </row>
    <row r="9">
      <c r="A9" s="2" t="str">
        <v>Расходы на привлечение, коэффициент</v>
      </c>
      <c r="B9" s="75" t="n">
        <v>1</v>
      </c>
      <c r="C9" s="76" t="n">
        <v>1.2</v>
      </c>
      <c r="D9" s="76" t="n">
        <v>1.1</v>
      </c>
    </row>
    <row r="10">
      <c r="A10" s="11" t="str">
        <v>Лиды, коэффициент</v>
      </c>
      <c r="B10" s="107" t="n">
        <v>1</v>
      </c>
      <c r="C10" s="108" t="n">
        <v>0.8</v>
      </c>
      <c r="D10" s="108" t="n">
        <v>1.3</v>
      </c>
    </row>
    <row r="11">
      <c r="A11" s="2"/>
      <c r="B11" s="2"/>
      <c r="C11" s="2"/>
      <c r="D11" s="2"/>
    </row>
    <row r="12">
      <c r="A12" s="10" t="str">
        <v>Результат</v>
      </c>
      <c r="B12" s="10"/>
      <c r="C12" s="10"/>
      <c r="D12" s="10"/>
    </row>
    <row r="13">
      <c r="A13" s="2" t="str">
        <v>CM1 / проект</v>
      </c>
      <c r="B13" s="98" t="n">
        <f>'Вводные'!B6*B5-('Вводные'!B7*B6)*('Вводные'!B8*B7)-('Вводные'!B6*B5)*('Вводные'!B10+'Вводные'!B11)-'Вводные'!B9-'Вводные'!B12</f>
        <v>947.5</v>
      </c>
      <c r="C13" s="99" t="n">
        <f>'Вводные'!B6*C5-('Вводные'!B7*C6)*('Вводные'!B8*C7)-('Вводные'!B6*C5)*('Вводные'!B10+'Вводные'!B11)-'Вводные'!B9-'Вводные'!B12</f>
        <v>456.4000000000001</v>
      </c>
      <c r="D13" s="99" t="n">
        <f>'Вводные'!B6*D5-('Вводные'!B7*D6)*('Вводные'!B8*D7)-('Вводные'!B6*D5)*('Вводные'!B10+'Вводные'!B11)-'Вводные'!B9-'Вводные'!B12</f>
        <v>1275.25</v>
      </c>
    </row>
    <row r="14">
      <c r="A14" s="2" t="str">
        <v>Новых клиентов</v>
      </c>
      <c r="B14" s="95" t="n">
        <f>'Вводные'!B14*B10*MAX(0,'Вводные'!B15+B8)</f>
        <v>12</v>
      </c>
      <c r="C14" s="96" t="n">
        <f>'Вводные'!B14*C10*MAX(0,'Вводные'!B15+C8)</f>
        <v>7.200000000000001</v>
      </c>
      <c r="D14" s="96" t="n">
        <f>'Вводные'!B14*D10*MAX(0,'Вводные'!B15+D8)</f>
        <v>19.5</v>
      </c>
    </row>
    <row r="15">
      <c r="A15" s="2" t="str">
        <v>CAC</v>
      </c>
      <c r="B15" s="98" t="n">
        <f>IF(B14=0,0,'Вводные'!B13*B9/B14)</f>
        <v>500</v>
      </c>
      <c r="C15" s="99" t="n">
        <f>IF(C14=0,0,'Вводные'!B13*C9/C14)</f>
        <v>999.9999999999999</v>
      </c>
      <c r="D15" s="99" t="n">
        <f>IF(D14=0,0,'Вводные'!B13*D9/D14)</f>
        <v>338.4615384615385</v>
      </c>
    </row>
    <row r="16">
      <c r="A16" s="2" t="str">
        <v>CM2 / проект</v>
      </c>
      <c r="B16" s="98" t="n">
        <f>B13-B15</f>
        <v>447.5</v>
      </c>
      <c r="C16" s="99" t="n">
        <f>C13-C15</f>
        <v>-543.5999999999998</v>
      </c>
      <c r="D16" s="99" t="n">
        <f>D13-D15</f>
        <v>936.7884615384614</v>
      </c>
    </row>
    <row r="17">
      <c r="A17" s="2" t="str">
        <v>Проектов с учетом мощности</v>
      </c>
      <c r="B17" s="95" t="n">
        <f>MIN(B14,'Вводные'!B18)</f>
        <v>12</v>
      </c>
      <c r="C17" s="96" t="n">
        <f>MIN(C14,'Вводные'!B18)</f>
        <v>7.200000000000001</v>
      </c>
      <c r="D17" s="96" t="n">
        <f>MIN(D14,'Вводные'!B18)</f>
        <v>15</v>
      </c>
    </row>
    <row r="18">
      <c r="A18" s="2" t="str">
        <v>Операционная прибыль</v>
      </c>
      <c r="B18" s="98" t="n">
        <f>B13*B17-'Вводные'!B13*B9-'Вводные'!B17</f>
        <v>-3630</v>
      </c>
      <c r="C18" s="99" t="n">
        <f>C13*C17-'Вводные'!B13*C9-'Вводные'!B17</f>
        <v>-12913.919999999998</v>
      </c>
      <c r="D18" s="99" t="n">
        <f>D13*D17-'Вводные'!B13*D9-'Вводные'!B17</f>
        <v>3528.75</v>
      </c>
    </row>
    <row r="19">
      <c r="A19" s="2" t="str">
        <v>LTV / CAC</v>
      </c>
      <c r="B19" s="101" t="n">
        <f>IF(B15=0,0,(B13*'Вводные'!B16)/B15)</f>
        <v>3.411</v>
      </c>
      <c r="C19" s="102" t="n">
        <f>IF(C15=0,0,(C13*'Вводные'!B16)/C15)</f>
        <v>0.8215200000000003</v>
      </c>
      <c r="D19" s="102" t="n">
        <f>IF(D15=0,0,(D13*'Вводные'!B16)/D15)</f>
        <v>6.7820113636363635</v>
      </c>
    </row>
    <row r="20">
      <c r="A20" s="11" t="str">
        <v>Максимальный CPL</v>
      </c>
      <c r="B20" s="109" t="n">
        <f>B13*MAX(0,'Вводные'!B15+B8)</f>
        <v>189.5</v>
      </c>
      <c r="C20" s="110" t="n">
        <f>C13*MAX(0,'Вводные'!B15+C8)</f>
        <v>68.46000000000002</v>
      </c>
      <c r="D20" s="110" t="n">
        <f>D13*MAX(0,'Вводные'!B15+D8)</f>
        <v>318.8125</v>
      </c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5" t="str">
        <v>Сценарии показывают, когда рост лидов упирается в мощность. В целевом варианте рост расходов на привлечение учитывает расширение продаж.</v>
      </c>
      <c r="B23" s="26"/>
      <c r="C23" s="26"/>
      <c r="D23" s="27"/>
    </row>
    <row r="24">
      <c r="A24" s="31"/>
      <c r="B24" s="32"/>
      <c r="C24" s="32"/>
      <c r="D24" s="33"/>
    </row>
    <row r="25">
      <c r="A25" s="2"/>
      <c r="B25" s="2"/>
      <c r="C25" s="2"/>
      <c r="D25" s="2"/>
    </row>
    <row r="26">
      <c r="A26" s="2"/>
      <c r="B26" s="2"/>
      <c r="C26" s="2"/>
      <c r="D26" s="2"/>
    </row>
  </sheetData>
  <mergeCells>
    <mergeCell ref="A1:D1"/>
    <mergeCell ref="A2:D2"/>
    <mergeCell ref="A12:D12"/>
    <mergeCell ref="A23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1" hidden="0" customWidth="1"/>
    <col min="3" max="3" width="12" hidden="0" customWidth="1"/>
    <col min="4" max="4" width="16" hidden="0" customWidth="1"/>
    <col min="5" max="5" width="13" hidden="0" customWidth="1"/>
    <col min="6" max="6" width="12" hidden="0" customWidth="1"/>
    <col min="7" max="7" width="15" hidden="0" customWidth="1"/>
    <col min="8" max="8" width="16" hidden="0" customWidth="1"/>
    <col min="9" max="9" width="15" hidden="0" customWidth="1"/>
    <col min="10" max="10" width="13" hidden="0" customWidth="1"/>
    <col min="11" max="11" width="15" hidden="0" customWidth="1"/>
    <col min="12" max="12" width="20" hidden="0" customWidth="1"/>
    <col min="13" max="13" width="19" hidden="0" customWidth="1"/>
  </cols>
  <sheetData>
    <row r="1" ht="36" customHeight="1">
      <c r="A1" s="4" t="str">
        <v>Прогноз: услуги на 12 месяцев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34" customHeight="1">
      <c r="A2" s="7" t="str">
        <v>Лиды и цена растут по вводным, мощность команды остается постоянной.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44" customHeight="1">
      <c r="A4" s="35" t="str">
        <v>Месяц</v>
      </c>
      <c r="B4" s="35" t="str">
        <v>Лиды</v>
      </c>
      <c r="C4" s="35" t="str">
        <v>Конверсия</v>
      </c>
      <c r="D4" s="35" t="str">
        <v>Новые клиенты</v>
      </c>
      <c r="E4" s="35" t="str">
        <v>Мощность</v>
      </c>
      <c r="F4" s="35" t="str">
        <v>Проекты</v>
      </c>
      <c r="G4" s="35" t="str">
        <v>Цена проекта</v>
      </c>
      <c r="H4" s="35" t="str">
        <v>Выручка</v>
      </c>
      <c r="I4" s="35" t="str">
        <v>CM1 / проект</v>
      </c>
      <c r="J4" s="35" t="str">
        <v>CAC</v>
      </c>
      <c r="K4" s="35" t="str">
        <v>CM2 / проект</v>
      </c>
      <c r="L4" s="35" t="str">
        <v>Операционная прибыль</v>
      </c>
      <c r="M4" s="35" t="str">
        <v>Накопленная прибыль</v>
      </c>
    </row>
    <row r="5">
      <c r="A5" s="2" t="str">
        <v>Месяц 1</v>
      </c>
      <c r="B5" s="98" t="n">
        <f>'Вводные'!$B$14</f>
        <v>60</v>
      </c>
      <c r="C5" s="112" t="n">
        <f>'Вводные'!$B$15</f>
        <v>0.2</v>
      </c>
      <c r="D5" s="96" t="n">
        <f>B5*C5</f>
        <v>12</v>
      </c>
      <c r="E5" s="96" t="n">
        <f>'Вводные'!$B$18</f>
        <v>15</v>
      </c>
      <c r="F5" s="96" t="n">
        <f>MIN(D5,E5)</f>
        <v>12</v>
      </c>
      <c r="G5" s="99" t="n">
        <f>'Вводные'!$B$6</f>
        <v>2500</v>
      </c>
      <c r="H5" s="99" t="n">
        <f>F5*G5</f>
        <v>30000</v>
      </c>
      <c r="I5" s="99" t="n">
        <f>G5-'Вводные'!$B$7*'Вводные'!$B$8-G5*('Вводные'!$B$10+'Вводные'!$B$11)-'Вводные'!$B$9-'Вводные'!$B$12</f>
        <v>947.5</v>
      </c>
      <c r="J5" s="99" t="n">
        <f>IF(D5=0,0,'Вводные'!$B$13/D5)</f>
        <v>500</v>
      </c>
      <c r="K5" s="99" t="n">
        <f>I5-J5</f>
        <v>447.5</v>
      </c>
      <c r="L5" s="99" t="n">
        <f>I5*F5-'Вводные'!$B$13-'Вводные'!$B$17</f>
        <v>-3630</v>
      </c>
      <c r="M5" s="99" t="n">
        <f>L5</f>
        <v>-3630</v>
      </c>
    </row>
    <row r="6">
      <c r="A6" s="2" t="str">
        <v>Месяц 2</v>
      </c>
      <c r="B6" s="98" t="n">
        <f>B5*(1+'Вводные'!$B$19)</f>
        <v>62.400000000000006</v>
      </c>
      <c r="C6" s="112" t="n">
        <f>'Вводные'!$B$15</f>
        <v>0.2</v>
      </c>
      <c r="D6" s="96" t="n">
        <f>B6*C6</f>
        <v>12.480000000000002</v>
      </c>
      <c r="E6" s="96" t="n">
        <f>'Вводные'!$B$18</f>
        <v>15</v>
      </c>
      <c r="F6" s="96" t="n">
        <f>MIN(D6,E6)</f>
        <v>12.480000000000002</v>
      </c>
      <c r="G6" s="99" t="n">
        <f>G5*(1+'Вводные'!$B$20)</f>
        <v>2500</v>
      </c>
      <c r="H6" s="99" t="n">
        <f>F6*G6</f>
        <v>31200.000000000007</v>
      </c>
      <c r="I6" s="99" t="n">
        <f>G6-'Вводные'!$B$7*'Вводные'!$B$8-G6*('Вводные'!$B$10+'Вводные'!$B$11)-'Вводные'!$B$9-'Вводные'!$B$12</f>
        <v>947.5</v>
      </c>
      <c r="J6" s="99" t="n">
        <f>IF(D6=0,0,'Вводные'!$B$13/D6)</f>
        <v>480.76923076923066</v>
      </c>
      <c r="K6" s="99" t="n">
        <f>I6-J6</f>
        <v>466.73076923076934</v>
      </c>
      <c r="L6" s="99" t="n">
        <f>I6*F6-'Вводные'!$B$13-'Вводные'!$B$17</f>
        <v>-3175.199999999997</v>
      </c>
      <c r="M6" s="99" t="n">
        <f>M5+L6</f>
        <v>-6805.199999999997</v>
      </c>
    </row>
    <row r="7">
      <c r="A7" s="2" t="str">
        <v>Месяц 3</v>
      </c>
      <c r="B7" s="98" t="n">
        <f>B6*(1+'Вводные'!$B$19)</f>
        <v>64.89600000000002</v>
      </c>
      <c r="C7" s="112" t="n">
        <f>'Вводные'!$B$15</f>
        <v>0.2</v>
      </c>
      <c r="D7" s="96" t="n">
        <f>B7*C7</f>
        <v>12.979200000000004</v>
      </c>
      <c r="E7" s="96" t="n">
        <f>'Вводные'!$B$18</f>
        <v>15</v>
      </c>
      <c r="F7" s="96" t="n">
        <f>MIN(D7,E7)</f>
        <v>12.979200000000004</v>
      </c>
      <c r="G7" s="99" t="n">
        <f>G6*(1+'Вводные'!$B$20)</f>
        <v>2500</v>
      </c>
      <c r="H7" s="99" t="n">
        <f>F7*G7</f>
        <v>32448.00000000001</v>
      </c>
      <c r="I7" s="99" t="n">
        <f>G7-'Вводные'!$B$7*'Вводные'!$B$8-G7*('Вводные'!$B$10+'Вводные'!$B$11)-'Вводные'!$B$9-'Вводные'!$B$12</f>
        <v>947.5</v>
      </c>
      <c r="J7" s="99" t="n">
        <f>IF(D7=0,0,'Вводные'!$B$13/D7)</f>
        <v>462.27810650887557</v>
      </c>
      <c r="K7" s="99" t="n">
        <f>I7-J7</f>
        <v>485.22189349112443</v>
      </c>
      <c r="L7" s="99" t="n">
        <f>I7*F7-'Вводные'!$B$13-'Вводные'!$B$17</f>
        <v>-2702.207999999997</v>
      </c>
      <c r="M7" s="99" t="n">
        <f>M6+L7</f>
        <v>-9507.407999999994</v>
      </c>
    </row>
    <row r="8">
      <c r="A8" s="2" t="str">
        <v>Месяц 4</v>
      </c>
      <c r="B8" s="98" t="n">
        <f>B7*(1+'Вводные'!$B$19)</f>
        <v>67.49184000000002</v>
      </c>
      <c r="C8" s="112" t="n">
        <f>'Вводные'!$B$15</f>
        <v>0.2</v>
      </c>
      <c r="D8" s="96" t="n">
        <f>B8*C8</f>
        <v>13.498368000000006</v>
      </c>
      <c r="E8" s="96" t="n">
        <f>'Вводные'!$B$18</f>
        <v>15</v>
      </c>
      <c r="F8" s="96" t="n">
        <f>MIN(D8,E8)</f>
        <v>13.498368000000006</v>
      </c>
      <c r="G8" s="99" t="n">
        <f>G7*(1+'Вводные'!$B$20)</f>
        <v>2500</v>
      </c>
      <c r="H8" s="99" t="n">
        <f>F8*G8</f>
        <v>33745.92000000001</v>
      </c>
      <c r="I8" s="99" t="n">
        <f>G8-'Вводные'!$B$7*'Вводные'!$B$8-G8*('Вводные'!$B$10+'Вводные'!$B$11)-'Вводные'!$B$9-'Вводные'!$B$12</f>
        <v>947.5</v>
      </c>
      <c r="J8" s="99" t="n">
        <f>IF(D8=0,0,'Вводные'!$B$13/D8)</f>
        <v>444.4981793354572</v>
      </c>
      <c r="K8" s="99" t="n">
        <f>I8-J8</f>
        <v>503.0018206645428</v>
      </c>
      <c r="L8" s="99" t="n">
        <f>I8*F8-'Вводные'!$B$13-'Вводные'!$B$17</f>
        <v>-2210.296319999994</v>
      </c>
      <c r="M8" s="99" t="n">
        <f>M7+L8</f>
        <v>-11717.704319999988</v>
      </c>
    </row>
    <row r="9">
      <c r="A9" s="2" t="str">
        <v>Месяц 5</v>
      </c>
      <c r="B9" s="98" t="n">
        <f>B8*(1+'Вводные'!$B$19)</f>
        <v>70.19151360000002</v>
      </c>
      <c r="C9" s="112" t="n">
        <f>'Вводные'!$B$15</f>
        <v>0.2</v>
      </c>
      <c r="D9" s="96" t="n">
        <f>B9*C9</f>
        <v>14.038302720000004</v>
      </c>
      <c r="E9" s="96" t="n">
        <f>'Вводные'!$B$18</f>
        <v>15</v>
      </c>
      <c r="F9" s="96" t="n">
        <f>MIN(D9,E9)</f>
        <v>14.038302720000004</v>
      </c>
      <c r="G9" s="99" t="n">
        <f>G8*(1+'Вводные'!$B$20)</f>
        <v>2500</v>
      </c>
      <c r="H9" s="99" t="n">
        <f>F9*G9</f>
        <v>35095.75680000001</v>
      </c>
      <c r="I9" s="99" t="n">
        <f>G9-'Вводные'!$B$7*'Вводные'!$B$8-G9*('Вводные'!$B$10+'Вводные'!$B$11)-'Вводные'!$B$9-'Вводные'!$B$12</f>
        <v>947.5</v>
      </c>
      <c r="J9" s="99" t="n">
        <f>IF(D9=0,0,'Вводные'!$B$13/D9)</f>
        <v>427.40209551486276</v>
      </c>
      <c r="K9" s="99" t="n">
        <f>I9-J9</f>
        <v>520.0979044851372</v>
      </c>
      <c r="L9" s="99" t="n">
        <f>I9*F9-'Вводные'!$B$13-'Вводные'!$B$17</f>
        <v>-1698.7081727999957</v>
      </c>
      <c r="M9" s="99" t="n">
        <f>M8+L9</f>
        <v>-13416.412492799984</v>
      </c>
    </row>
    <row r="10">
      <c r="A10" s="2" t="str">
        <v>Месяц 6</v>
      </c>
      <c r="B10" s="98" t="n">
        <f>B9*(1+'Вводные'!$B$19)</f>
        <v>72.99917414400002</v>
      </c>
      <c r="C10" s="112" t="n">
        <f>'Вводные'!$B$15</f>
        <v>0.2</v>
      </c>
      <c r="D10" s="96" t="n">
        <f>B10*C10</f>
        <v>14.599834828800006</v>
      </c>
      <c r="E10" s="96" t="n">
        <f>'Вводные'!$B$18</f>
        <v>15</v>
      </c>
      <c r="F10" s="96" t="n">
        <f>MIN(D10,E10)</f>
        <v>14.599834828800006</v>
      </c>
      <c r="G10" s="99" t="n">
        <f>G9*(1+'Вводные'!$B$20)</f>
        <v>2500</v>
      </c>
      <c r="H10" s="99" t="n">
        <f>F10*G10</f>
        <v>36499.58707200002</v>
      </c>
      <c r="I10" s="99" t="n">
        <f>G10-'Вводные'!$B$7*'Вводные'!$B$8-G10*('Вводные'!$B$10+'Вводные'!$B$11)-'Вводные'!$B$9-'Вводные'!$B$12</f>
        <v>947.5</v>
      </c>
      <c r="J10" s="99" t="n">
        <f>IF(D10=0,0,'Вводные'!$B$13/D10)</f>
        <v>410.9635533796757</v>
      </c>
      <c r="K10" s="99" t="n">
        <f>I10-J10</f>
        <v>536.5364466203243</v>
      </c>
      <c r="L10" s="99" t="n">
        <f>I10*F10-'Вводные'!$B$13-'Вводные'!$B$17</f>
        <v>-1166.656499711995</v>
      </c>
      <c r="M10" s="99" t="n">
        <f>M9+L10</f>
        <v>-14583.068992511979</v>
      </c>
    </row>
    <row r="11">
      <c r="A11" s="2" t="str">
        <v>Месяц 7</v>
      </c>
      <c r="B11" s="98" t="n">
        <f>B10*(1+'Вводные'!$B$19)</f>
        <v>75.91914110976002</v>
      </c>
      <c r="C11" s="112" t="n">
        <f>'Вводные'!$B$15</f>
        <v>0.2</v>
      </c>
      <c r="D11" s="96" t="n">
        <f>B11*C11</f>
        <v>15.183828221952005</v>
      </c>
      <c r="E11" s="96" t="n">
        <f>'Вводные'!$B$18</f>
        <v>15</v>
      </c>
      <c r="F11" s="96" t="n">
        <f>MIN(D11,E11)</f>
        <v>15</v>
      </c>
      <c r="G11" s="99" t="n">
        <f>G10*(1+'Вводные'!$B$20)</f>
        <v>2500</v>
      </c>
      <c r="H11" s="99" t="n">
        <f>F11*G11</f>
        <v>37500</v>
      </c>
      <c r="I11" s="99" t="n">
        <f>G11-'Вводные'!$B$7*'Вводные'!$B$8-G11*('Вводные'!$B$10+'Вводные'!$B$11)-'Вводные'!$B$9-'Вводные'!$B$12</f>
        <v>947.5</v>
      </c>
      <c r="J11" s="99" t="n">
        <f>IF(D11=0,0,'Вводные'!$B$13/D11)</f>
        <v>395.1572628650728</v>
      </c>
      <c r="K11" s="99" t="n">
        <f>I11-J11</f>
        <v>552.3427371349271</v>
      </c>
      <c r="L11" s="99" t="n">
        <f>I11*F11-'Вводные'!$B$13-'Вводные'!$B$17</f>
        <v>-787.5</v>
      </c>
      <c r="M11" s="99" t="n">
        <f>M10+L11</f>
        <v>-15370.568992511979</v>
      </c>
    </row>
    <row r="12">
      <c r="A12" s="2" t="str">
        <v>Месяц 8</v>
      </c>
      <c r="B12" s="98" t="n">
        <f>B11*(1+'Вводные'!$B$19)</f>
        <v>78.95590675415042</v>
      </c>
      <c r="C12" s="112" t="n">
        <f>'Вводные'!$B$15</f>
        <v>0.2</v>
      </c>
      <c r="D12" s="96" t="n">
        <f>B12*C12</f>
        <v>15.791181350830085</v>
      </c>
      <c r="E12" s="96" t="n">
        <f>'Вводные'!$B$18</f>
        <v>15</v>
      </c>
      <c r="F12" s="96" t="n">
        <f>MIN(D12,E12)</f>
        <v>15</v>
      </c>
      <c r="G12" s="99" t="n">
        <f>G11*(1+'Вводные'!$B$20)</f>
        <v>2500</v>
      </c>
      <c r="H12" s="99" t="n">
        <f>F12*G12</f>
        <v>37500</v>
      </c>
      <c r="I12" s="99" t="n">
        <f>G12-'Вводные'!$B$7*'Вводные'!$B$8-G12*('Вводные'!$B$10+'Вводные'!$B$11)-'Вводные'!$B$9-'Вводные'!$B$12</f>
        <v>947.5</v>
      </c>
      <c r="J12" s="99" t="n">
        <f>IF(D12=0,0,'Вводные'!$B$13/D12)</f>
        <v>379.9589066010316</v>
      </c>
      <c r="K12" s="99" t="n">
        <f>I12-J12</f>
        <v>567.5410933989684</v>
      </c>
      <c r="L12" s="99" t="n">
        <f>I12*F12-'Вводные'!$B$13-'Вводные'!$B$17</f>
        <v>-787.5</v>
      </c>
      <c r="M12" s="99" t="n">
        <f>M11+L12</f>
        <v>-16158.068992511979</v>
      </c>
    </row>
    <row r="13">
      <c r="A13" s="2" t="str">
        <v>Месяц 9</v>
      </c>
      <c r="B13" s="98" t="n">
        <f>B12*(1+'Вводные'!$B$19)</f>
        <v>82.11414302431643</v>
      </c>
      <c r="C13" s="112" t="n">
        <f>'Вводные'!$B$15</f>
        <v>0.2</v>
      </c>
      <c r="D13" s="96" t="n">
        <f>B13*C13</f>
        <v>16.422828604863287</v>
      </c>
      <c r="E13" s="96" t="n">
        <f>'Вводные'!$B$18</f>
        <v>15</v>
      </c>
      <c r="F13" s="96" t="n">
        <f>MIN(D13,E13)</f>
        <v>15</v>
      </c>
      <c r="G13" s="99" t="n">
        <f>G12*(1+'Вводные'!$B$20)</f>
        <v>2500</v>
      </c>
      <c r="H13" s="99" t="n">
        <f>F13*G13</f>
        <v>37500</v>
      </c>
      <c r="I13" s="99" t="n">
        <f>G13-'Вводные'!$B$7*'Вводные'!$B$8-G13*('Вводные'!$B$10+'Вводные'!$B$11)-'Вводные'!$B$9-'Вводные'!$B$12</f>
        <v>947.5</v>
      </c>
      <c r="J13" s="99" t="n">
        <f>IF(D13=0,0,'Вводные'!$B$13/D13)</f>
        <v>365.3451025009919</v>
      </c>
      <c r="K13" s="99" t="n">
        <f>I13-J13</f>
        <v>582.154897499008</v>
      </c>
      <c r="L13" s="99" t="n">
        <f>I13*F13-'Вводные'!$B$13-'Вводные'!$B$17</f>
        <v>-787.5</v>
      </c>
      <c r="M13" s="99" t="n">
        <f>M12+L13</f>
        <v>-16945.56899251198</v>
      </c>
    </row>
    <row r="14">
      <c r="A14" s="2" t="str">
        <v>Месяц 10</v>
      </c>
      <c r="B14" s="98" t="n">
        <f>B13*(1+'Вводные'!$B$19)</f>
        <v>85.3987087452891</v>
      </c>
      <c r="C14" s="112" t="n">
        <f>'Вводные'!$B$15</f>
        <v>0.2</v>
      </c>
      <c r="D14" s="96" t="n">
        <f>B14*C14</f>
        <v>17.07974174905782</v>
      </c>
      <c r="E14" s="96" t="n">
        <f>'Вводные'!$B$18</f>
        <v>15</v>
      </c>
      <c r="F14" s="96" t="n">
        <f>MIN(D14,E14)</f>
        <v>15</v>
      </c>
      <c r="G14" s="99" t="n">
        <f>G13*(1+'Вводные'!$B$20)</f>
        <v>2500</v>
      </c>
      <c r="H14" s="99" t="n">
        <f>F14*G14</f>
        <v>37500</v>
      </c>
      <c r="I14" s="99" t="n">
        <f>G14-'Вводные'!$B$7*'Вводные'!$B$8-G14*('Вводные'!$B$10+'Вводные'!$B$11)-'Вводные'!$B$9-'Вводные'!$B$12</f>
        <v>947.5</v>
      </c>
      <c r="J14" s="99" t="n">
        <f>IF(D14=0,0,'Вводные'!$B$13/D14)</f>
        <v>351.2933677894153</v>
      </c>
      <c r="K14" s="99" t="n">
        <f>I14-J14</f>
        <v>596.2066322105848</v>
      </c>
      <c r="L14" s="99" t="n">
        <f>I14*F14-'Вводные'!$B$13-'Вводные'!$B$17</f>
        <v>-787.5</v>
      </c>
      <c r="M14" s="99" t="n">
        <f>M13+L14</f>
        <v>-17733.06899251198</v>
      </c>
    </row>
    <row r="15">
      <c r="A15" s="2" t="str">
        <v>Месяц 11</v>
      </c>
      <c r="B15" s="98" t="n">
        <f>B14*(1+'Вводные'!$B$19)</f>
        <v>88.81465709510067</v>
      </c>
      <c r="C15" s="112" t="n">
        <f>'Вводные'!$B$15</f>
        <v>0.2</v>
      </c>
      <c r="D15" s="96" t="n">
        <f>B15*C15</f>
        <v>17.762931419020134</v>
      </c>
      <c r="E15" s="96" t="n">
        <f>'Вводные'!$B$18</f>
        <v>15</v>
      </c>
      <c r="F15" s="96" t="n">
        <f>MIN(D15,E15)</f>
        <v>15</v>
      </c>
      <c r="G15" s="99" t="n">
        <f>G14*(1+'Вводные'!$B$20)</f>
        <v>2500</v>
      </c>
      <c r="H15" s="99" t="n">
        <f>F15*G15</f>
        <v>37500</v>
      </c>
      <c r="I15" s="99" t="n">
        <f>G15-'Вводные'!$B$7*'Вводные'!$B$8-G15*('Вводные'!$B$10+'Вводные'!$B$11)-'Вводные'!$B$9-'Вводные'!$B$12</f>
        <v>947.5</v>
      </c>
      <c r="J15" s="99" t="n">
        <f>IF(D15=0,0,'Вводные'!$B$13/D15)</f>
        <v>337.7820844128993</v>
      </c>
      <c r="K15" s="99" t="n">
        <f>I15-J15</f>
        <v>609.7179155871007</v>
      </c>
      <c r="L15" s="99" t="n">
        <f>I15*F15-'Вводные'!$B$13-'Вводные'!$B$17</f>
        <v>-787.5</v>
      </c>
      <c r="M15" s="99" t="n">
        <f>M14+L15</f>
        <v>-18520.56899251198</v>
      </c>
    </row>
    <row r="16">
      <c r="A16" s="11" t="str">
        <v>Месяц 12</v>
      </c>
      <c r="B16" s="109" t="n">
        <f>B15*(1+'Вводные'!$B$19)</f>
        <v>92.3672433789047</v>
      </c>
      <c r="C16" s="116" t="n">
        <f>'Вводные'!$B$15</f>
        <v>0.2</v>
      </c>
      <c r="D16" s="117" t="n">
        <f>B16*C16</f>
        <v>18.47344867578094</v>
      </c>
      <c r="E16" s="117" t="n">
        <f>'Вводные'!$B$18</f>
        <v>15</v>
      </c>
      <c r="F16" s="117" t="n">
        <f>MIN(D16,E16)</f>
        <v>15</v>
      </c>
      <c r="G16" s="110" t="n">
        <f>G15*(1+'Вводные'!$B$20)</f>
        <v>2500</v>
      </c>
      <c r="H16" s="110" t="n">
        <f>F16*G16</f>
        <v>37500</v>
      </c>
      <c r="I16" s="110" t="n">
        <f>G16-'Вводные'!$B$7*'Вводные'!$B$8-G16*('Вводные'!$B$10+'Вводные'!$B$11)-'Вводные'!$B$9-'Вводные'!$B$12</f>
        <v>947.5</v>
      </c>
      <c r="J16" s="110" t="n">
        <f>IF(D16=0,0,'Вводные'!$B$13/D16)</f>
        <v>324.79046578163394</v>
      </c>
      <c r="K16" s="110" t="n">
        <f>I16-J16</f>
        <v>622.7095342183661</v>
      </c>
      <c r="L16" s="110" t="n">
        <f>I16*F16-'Вводные'!$B$13-'Вводные'!$B$17</f>
        <v>-787.5</v>
      </c>
      <c r="M16" s="110" t="n">
        <f>M15+L16</f>
        <v>-19308.06899251198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5" t="str">
        <v>Прогноз не учитывает повторные проекты, сезонность и расширение команды. Он показывает экономику новых клиентов при текущей мощности.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</row>
    <row r="1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</sheetData>
  <mergeCells>
    <mergeCell ref="A1:M1"/>
    <mergeCell ref="A2:M2"/>
    <mergeCell ref="A18:M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38" hidden="0" customWidth="1"/>
    <col min="3" max="3" width="42" hidden="0" customWidth="1"/>
    <col min="4" max="4" width="44" hidden="0" customWidth="1"/>
  </cols>
  <sheetData>
    <row r="1" ht="36" customHeight="1">
      <c r="A1" s="4" t="str">
        <v>Справка: услуги</v>
      </c>
      <c r="B1" s="4"/>
      <c r="C1" s="4"/>
      <c r="D1" s="4"/>
    </row>
    <row r="2" ht="34" customHeight="1">
      <c r="A2" s="7" t="str">
        <v>Определения и ограничения модели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Метрика</v>
      </c>
      <c r="B4" s="35" t="str">
        <v>Формула</v>
      </c>
      <c r="C4" s="35" t="str">
        <v>Что показывает</v>
      </c>
      <c r="D4" s="35" t="str">
        <v>Ограничение</v>
      </c>
    </row>
    <row r="5" ht="44" customHeight="1">
      <c r="A5" s="2" t="str">
        <v>Полная стоимость часа</v>
      </c>
      <c r="B5" s="118" t="str">
        <v>Зарплата + налоги + обязательные расходы / оплачиваемые часы</v>
      </c>
      <c r="C5" s="118" t="str">
        <v>Фактическую стоимость работы</v>
      </c>
      <c r="D5" s="118" t="str">
        <v>Не используйте только ставку сотрудника</v>
      </c>
    </row>
    <row r="6" ht="44" customHeight="1">
      <c r="A6" s="2" t="str">
        <v>CM1</v>
      </c>
      <c r="B6" s="118" t="str">
        <v>Выручка - труд - подрядчики - комиссии - налог</v>
      </c>
      <c r="C6" s="118" t="str">
        <v>Маржу до привлечения</v>
      </c>
      <c r="D6" s="118" t="str">
        <v>Не включает CAC и постоянные расходы</v>
      </c>
    </row>
    <row r="7" ht="44" customHeight="1">
      <c r="A7" s="2" t="str">
        <v>CAC</v>
      </c>
      <c r="B7" s="118" t="str">
        <v>Маркетинг и продажи / новые клиенты</v>
      </c>
      <c r="C7" s="118" t="str">
        <v>Стоимость нового клиента</v>
      </c>
      <c r="D7" s="118" t="str">
        <v>Лиды и расходы должны относиться к одному периоду</v>
      </c>
    </row>
    <row r="8" ht="44" customHeight="1">
      <c r="A8" s="2" t="str">
        <v>Максимальный CPL</v>
      </c>
      <c r="B8" s="118" t="str">
        <v>Максимальный CAC × конверсия</v>
      </c>
      <c r="C8" s="118" t="str">
        <v>Границу цены лида</v>
      </c>
      <c r="D8" s="118" t="str">
        <v>Зависит от текущей конверсии</v>
      </c>
    </row>
    <row r="9" ht="44" customHeight="1">
      <c r="A9" s="2" t="str">
        <v>Profit-LTV</v>
      </c>
      <c r="B9" s="118" t="str">
        <v>CM1 × проектов на клиента</v>
      </c>
      <c r="C9" s="118" t="str">
        <v>Маржу клиента за весь срок</v>
      </c>
      <c r="D9" s="118" t="str">
        <v>Нужны данные по повторным проектам</v>
      </c>
    </row>
    <row r="10" ht="44" customHeight="1">
      <c r="A10" s="2" t="str">
        <v>LTV / CAC</v>
      </c>
      <c r="B10" s="118" t="str">
        <v>Profit-LTV / CAC</v>
      </c>
      <c r="C10" s="118" t="str">
        <v>Запас прибыли относительно привлечения</v>
      </c>
      <c r="D10" s="118" t="str">
        <v>3:1 - ориентир, а не универсальная норма</v>
      </c>
    </row>
    <row r="11" ht="44" customHeight="1">
      <c r="A11" s="2" t="str">
        <v>Мощность</v>
      </c>
      <c r="B11" s="118" t="str">
        <v>Максимум проектов команды в месяц</v>
      </c>
      <c r="C11" s="118" t="str">
        <v>Ограничение производства</v>
      </c>
      <c r="D11" s="118" t="str">
        <v>Требует актуальной оценки загрузки</v>
      </c>
    </row>
    <row r="12" ht="44" customHeight="1">
      <c r="A12" s="11" t="str">
        <v>Операционная прибыль</v>
      </c>
      <c r="B12" s="14" t="str">
        <v>CM1 × выполненные проекты - маркетинг - постоянные расходы</v>
      </c>
      <c r="C12" s="14" t="str">
        <v>Результат месяца</v>
      </c>
      <c r="D12" s="14" t="str">
        <v>Не равно денежному потоку</v>
      </c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5" t="str">
        <v>Методология собрана по unit-economics-facts.md. В услугах труд команды считается переменным расходом проекта, а управление и постоянные роли вынесены в постоянные расходы.</v>
      </c>
      <c r="B15" s="26"/>
      <c r="C15" s="26"/>
      <c r="D15" s="27"/>
    </row>
    <row r="16">
      <c r="A16" s="28"/>
      <c r="B16" s="29"/>
      <c r="C16" s="29"/>
      <c r="D16" s="30"/>
    </row>
    <row r="17">
      <c r="A17" s="28"/>
      <c r="B17" s="29"/>
      <c r="C17" s="29"/>
      <c r="D17" s="30"/>
    </row>
    <row r="18">
      <c r="A18" s="31"/>
      <c r="B18" s="32"/>
      <c r="C18" s="32"/>
      <c r="D18" s="33"/>
    </row>
    <row r="19">
      <c r="A19" s="2"/>
      <c r="B19" s="2"/>
      <c r="C19" s="2"/>
      <c r="D19" s="2"/>
    </row>
  </sheetData>
  <mergeCells>
    <mergeCell ref="A1:D1"/>
    <mergeCell ref="A2:D2"/>
    <mergeCell ref="A15:D18"/>
  </mergeCells>
  <pageMargins left="0.7" right="0.7" top="0.75" bottom="0.75" header="0.3" footer="0.3"/>
</worksheet>
</file>