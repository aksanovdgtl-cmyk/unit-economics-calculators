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3b1fa6459b4ae7" /></Relationships>
</file>

<file path=xl/workbook.xml><?xml version="1.0" encoding="utf-8"?>
<workbook xmlns="http://schemas.openxmlformats.org/spreadsheetml/2006/main">
  <sheets>
    <sheet xmlns:r="http://schemas.openxmlformats.org/officeDocument/2006/relationships" name="Инструкция" sheetId="1" r:id="Rfcb240671b804d64"/>
    <sheet xmlns:r="http://schemas.openxmlformats.org/officeDocument/2006/relationships" name="Вводные" sheetId="2" r:id="Rc3a296a6162f4c05"/>
    <sheet xmlns:r="http://schemas.openxmlformats.org/officeDocument/2006/relationships" name="Юнит-экономика" sheetId="3" r:id="Re0466ecf6cca4a44"/>
    <sheet xmlns:r="http://schemas.openxmlformats.org/officeDocument/2006/relationships" name="Сценарии" sheetId="4" r:id="R64bce7fef6f84176"/>
    <sheet xmlns:r="http://schemas.openxmlformats.org/officeDocument/2006/relationships" name="Помесячный прогноз" sheetId="5" r:id="Racc4bfaf54ff4285"/>
    <sheet xmlns:r="http://schemas.openxmlformats.org/officeDocument/2006/relationships" name="Справка" sheetId="6" r:id="R8a87a4e1c4f54f1b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5">
    <numFmt numFmtId="200" formatCode="#,##0.00"/>
    <numFmt numFmtId="201" formatCode="0.0%"/>
    <numFmt numFmtId="202" formatCode="#,##0"/>
    <numFmt numFmtId="203" formatCode="0.00x"/>
    <numFmt numFmtId="204" formatCode="0.00"/>
  </numFmts>
  <fonts count="8">
    <font>
      <sz val="11"/>
      <name val="Carlito"/>
    </font>
    <font>
      <sz val="11"/>
      <color rgb="FF202124"/>
      <name val="Aptos"/>
    </font>
    <font>
      <b/>
      <sz val="20"/>
      <color rgb="FFFFFFFF"/>
      <name val="Aptos Display"/>
    </font>
    <font>
      <sz val="10"/>
      <color rgb="FF60646C"/>
      <name val="Aptos"/>
    </font>
    <font>
      <b/>
      <sz val="11"/>
      <color rgb="FF1EB980"/>
      <name val="Aptos"/>
    </font>
    <font>
      <b/>
      <sz val="11"/>
      <color rgb="FF202124"/>
      <name val="Aptos"/>
    </font>
    <font>
      <b/>
      <sz val="10"/>
      <color rgb="FFFFFFFF"/>
      <name val="Aptos"/>
    </font>
    <font>
      <b/>
      <sz val="11"/>
      <color rgb="FF0845EF"/>
      <name val="Aptos"/>
    </font>
  </fonts>
  <fills count="7">
    <fill>
      <patternFill patternType="none"/>
    </fill>
    <fill>
      <patternFill patternType="gray125"/>
    </fill>
    <fill>
      <patternFill patternType="solid">
        <fgColor rgb="FF1EB980"/>
      </patternFill>
    </fill>
    <fill>
      <patternFill patternType="solid">
        <fgColor rgb="FFFCFCFC"/>
      </patternFill>
    </fill>
    <fill>
      <patternFill patternType="solid">
        <fgColor rgb="FFF4F6F8"/>
      </patternFill>
    </fill>
    <fill>
      <patternFill patternType="solid">
        <fgColor rgb="FFFFF3C4"/>
      </patternFill>
    </fill>
    <fill>
      <patternFill patternType="solid">
        <fgColor rgb="FFEAF0FF"/>
      </patternFill>
    </fill>
  </fills>
  <borders count="39">
    <border/>
    <border>
      <bottom style="medium">
        <color rgb="FF1EB980"/>
      </bottom>
    </border>
    <border>
      <bottom style="thin">
        <color rgb="FFDDE2E8"/>
      </bottom>
    </border>
    <border>
      <left style="thin">
        <color rgb="FFDDE2E8"/>
      </left>
      <top style="thin">
        <color rgb="FFDDE2E8"/>
      </top>
    </border>
    <border>
      <top style="thin">
        <color rgb="FFDDE2E8"/>
      </top>
    </border>
    <border>
      <right style="thin">
        <color rgb="FFDDE2E8"/>
      </right>
      <top style="thin">
        <color rgb="FFDDE2E8"/>
      </top>
    </border>
    <border>
      <left style="thin">
        <color rgb="FFDDE2E8"/>
      </left>
    </border>
    <border>
      <right style="thin">
        <color rgb="FFDDE2E8"/>
      </right>
    </border>
    <border>
      <left style="thin">
        <color rgb="FFDDE2E8"/>
      </left>
      <bottom style="thin">
        <color rgb="FFDDE2E8"/>
      </bottom>
    </border>
    <border>
      <right style="thin">
        <color rgb="FFDDE2E8"/>
      </right>
      <bottom style="thin">
        <color rgb="FFDDE2E8"/>
      </bottom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  <border>
      <left style="thin">
        <color rgb="FFD6B84B"/>
      </left>
      <right style="thin">
        <color rgb="FFD6B84B"/>
      </right>
      <top style="thin">
        <color rgb="FFD6B84B"/>
      </top>
    </border>
    <border>
      <left style="thin">
        <color rgb="FFD6B84B"/>
      </left>
      <right style="thin">
        <color rgb="FFD6B84B"/>
      </right>
    </border>
    <border>
      <left style="thin">
        <color rgb="FFD6B84B"/>
      </left>
      <right style="thin">
        <color rgb="FFD6B84B"/>
      </right>
      <bottom style="thin">
        <color rgb="FFD6B84B"/>
      </bottom>
    </border>
    <border>
      <left style="thin">
        <color rgb="FFD6B84B"/>
      </left>
      <right style="thin">
        <color rgb="FFD6B84B"/>
      </right>
      <bottom style="thin">
        <color rgb="FFDDE2E8"/>
      </bottom>
    </border>
    <border>
      <left style="thin">
        <color rgb="FF9CB2FF"/>
      </left>
      <right style="thin">
        <color rgb="FF9CB2FF"/>
      </right>
      <top style="thin">
        <color rgb="FF9CB2FF"/>
      </top>
    </border>
    <border>
      <left style="thin">
        <color rgb="FF9CB2FF"/>
      </left>
      <right style="thin">
        <color rgb="FF9CB2FF"/>
      </right>
    </border>
    <border>
      <left style="thin">
        <color rgb="FF9CB2FF"/>
      </left>
      <right style="thin">
        <color rgb="FF9CB2FF"/>
      </right>
      <bottom style="thin">
        <color rgb="FF9CB2FF"/>
      </bottom>
    </border>
    <border>
      <left style="thin">
        <color rgb="FF9CB2FF"/>
      </left>
      <right style="thin">
        <color rgb="FF9CB2FF"/>
      </right>
      <bottom style="thin">
        <color rgb="FFDDE2E8"/>
      </bottom>
    </border>
    <border>
      <left style="thin">
        <color rgb="FFD6B84B"/>
      </left>
      <top style="thin">
        <color rgb="FFD6B84B"/>
      </top>
    </border>
    <border>
      <top style="thin">
        <color rgb="FFD6B84B"/>
      </top>
    </border>
    <border>
      <right style="thin">
        <color rgb="FFD6B84B"/>
      </right>
      <top style="thin">
        <color rgb="FFD6B84B"/>
      </top>
    </border>
    <border>
      <left style="thin">
        <color rgb="FFD6B84B"/>
      </left>
    </border>
    <border>
      <right style="thin">
        <color rgb="FFD6B84B"/>
      </right>
    </border>
    <border>
      <left style="thin">
        <color rgb="FFD6B84B"/>
      </left>
      <bottom style="thin">
        <color rgb="FFD6B84B"/>
      </bottom>
    </border>
    <border>
      <bottom style="thin">
        <color rgb="FFD6B84B"/>
      </bottom>
    </border>
    <border>
      <right style="thin">
        <color rgb="FFD6B84B"/>
      </right>
      <bottom style="thin">
        <color rgb="FFD6B84B"/>
      </bottom>
    </border>
    <border>
      <left style="thin">
        <color rgb="FF9CB2FF"/>
      </left>
      <top style="thin">
        <color rgb="FF9CB2FF"/>
      </top>
    </border>
    <border>
      <top style="thin">
        <color rgb="FF9CB2FF"/>
      </top>
    </border>
    <border>
      <right style="thin">
        <color rgb="FF9CB2FF"/>
      </right>
      <top style="thin">
        <color rgb="FF9CB2FF"/>
      </top>
    </border>
    <border>
      <left style="thin">
        <color rgb="FF9CB2FF"/>
      </left>
    </border>
    <border>
      <right style="thin">
        <color rgb="FF9CB2FF"/>
      </right>
    </border>
    <border>
      <left style="thin">
        <color rgb="FF9CB2FF"/>
      </left>
      <bottom style="thin">
        <color rgb="FF9CB2FF"/>
      </bottom>
    </border>
    <border>
      <bottom style="thin">
        <color rgb="FF9CB2FF"/>
      </bottom>
    </border>
    <border>
      <right style="thin">
        <color rgb="FF9CB2FF"/>
      </right>
      <bottom style="thin">
        <color rgb="FF9CB2FF"/>
      </bottom>
    </border>
    <border>
      <left style="thin">
        <color rgb="FFD6B84B"/>
      </left>
      <bottom style="thin">
        <color rgb="FFDDE2E8"/>
      </bottom>
    </border>
    <border>
      <left style="thin">
        <color rgb="FF9CB2FF"/>
      </left>
      <bottom style="thin">
        <color rgb="FFDDE2E8"/>
      </bottom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1" fillId="3" borderId="0" xfId="0" applyNumberFormat="1" applyFont="1" applyFill="1" applyBorder="1" applyAlignment="1">
      <alignment vertical="center"/>
    </xf>
    <xf numFmtId="0" fontId="3" fillId="3" borderId="0" xfId="0" applyNumberFormat="1" applyFont="1" applyFill="1" applyBorder="1" applyAlignment="1">
      <alignment vertical="center"/>
    </xf>
    <xf numFmtId="0" fontId="3" fillId="3" borderId="0" xfId="0" applyNumberFormat="1" applyFont="1" applyFill="1" applyBorder="1" applyAlignment="1">
      <alignment vertical="center" wrapText="1"/>
    </xf>
    <xf numFmtId="0" fontId="1" fillId="4" borderId="0" xfId="0" applyNumberFormat="1" applyFont="1" applyFill="1" applyBorder="1" applyAlignment="1">
      <alignment vertical="center"/>
    </xf>
    <xf numFmtId="0" fontId="4" fillId="4" borderId="0" xfId="0" applyNumberFormat="1" applyFont="1" applyFill="1" applyBorder="1" applyAlignment="1">
      <alignment vertical="center"/>
    </xf>
    <xf numFmtId="0" fontId="4" fillId="4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vertical="center"/>
    </xf>
    <xf numFmtId="0" fontId="4" fillId="0" borderId="2" xfId="0" applyNumberFormat="1" applyFont="1" applyFill="1" applyBorder="1" applyAlignment="1">
      <alignment vertical="center"/>
    </xf>
    <xf numFmtId="0" fontId="4" fillId="0" borderId="2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vertical="center" wrapText="1"/>
    </xf>
    <xf numFmtId="0" fontId="5" fillId="0" borderId="2" xfId="0" applyNumberFormat="1" applyFont="1" applyFill="1" applyBorder="1" applyAlignment="1">
      <alignment vertical="center"/>
    </xf>
    <xf numFmtId="0" fontId="3" fillId="4" borderId="0" xfId="0" applyNumberFormat="1" applyFont="1" applyFill="1" applyBorder="1" applyAlignment="1">
      <alignment vertical="center"/>
    </xf>
    <xf numFmtId="0" fontId="3" fillId="4" borderId="3" xfId="0" applyNumberFormat="1" applyFont="1" applyFill="1" applyBorder="1" applyAlignment="1">
      <alignment vertical="center"/>
    </xf>
    <xf numFmtId="0" fontId="3" fillId="4" borderId="4" xfId="0" applyNumberFormat="1" applyFont="1" applyFill="1" applyBorder="1" applyAlignment="1">
      <alignment vertical="center"/>
    </xf>
    <xf numFmtId="0" fontId="3" fillId="4" borderId="5" xfId="0" applyNumberFormat="1" applyFont="1" applyFill="1" applyBorder="1" applyAlignment="1">
      <alignment vertical="center"/>
    </xf>
    <xf numFmtId="0" fontId="3" fillId="4" borderId="6" xfId="0" applyNumberFormat="1" applyFont="1" applyFill="1" applyBorder="1" applyAlignment="1">
      <alignment vertical="center"/>
    </xf>
    <xf numFmtId="0" fontId="3" fillId="4" borderId="7" xfId="0" applyNumberFormat="1" applyFont="1" applyFill="1" applyBorder="1" applyAlignment="1">
      <alignment vertical="center"/>
    </xf>
    <xf numFmtId="0" fontId="3" fillId="4" borderId="8" xfId="0" applyNumberFormat="1" applyFont="1" applyFill="1" applyBorder="1" applyAlignment="1">
      <alignment vertical="center"/>
    </xf>
    <xf numFmtId="0" fontId="3" fillId="4" borderId="2" xfId="0" applyNumberFormat="1" applyFont="1" applyFill="1" applyBorder="1" applyAlignment="1">
      <alignment vertical="center"/>
    </xf>
    <xf numFmtId="0" fontId="3" fillId="4" borderId="9" xfId="0" applyNumberFormat="1" applyFont="1" applyFill="1" applyBorder="1" applyAlignment="1">
      <alignment vertical="center"/>
    </xf>
    <xf numFmtId="0" fontId="3" fillId="4" borderId="3" xfId="0" applyNumberFormat="1" applyFont="1" applyFill="1" applyBorder="1" applyAlignment="1">
      <alignment vertical="center" wrapText="1"/>
    </xf>
    <xf numFmtId="0" fontId="3" fillId="4" borderId="4" xfId="0" applyNumberFormat="1" applyFont="1" applyFill="1" applyBorder="1" applyAlignment="1">
      <alignment vertical="center" wrapText="1"/>
    </xf>
    <xf numFmtId="0" fontId="3" fillId="4" borderId="5" xfId="0" applyNumberFormat="1" applyFont="1" applyFill="1" applyBorder="1" applyAlignment="1">
      <alignment vertical="center" wrapText="1"/>
    </xf>
    <xf numFmtId="0" fontId="3" fillId="4" borderId="6" xfId="0" applyNumberFormat="1" applyFont="1" applyFill="1" applyBorder="1" applyAlignment="1">
      <alignment vertical="center" wrapText="1"/>
    </xf>
    <xf numFmtId="0" fontId="3" fillId="4" borderId="0" xfId="0" applyNumberFormat="1" applyFont="1" applyFill="1" applyBorder="1" applyAlignment="1">
      <alignment vertical="center" wrapText="1"/>
    </xf>
    <xf numFmtId="0" fontId="3" fillId="4" borderId="7" xfId="0" applyNumberFormat="1" applyFont="1" applyFill="1" applyBorder="1" applyAlignment="1">
      <alignment vertical="center" wrapText="1"/>
    </xf>
    <xf numFmtId="0" fontId="3" fillId="4" borderId="8" xfId="0" applyNumberFormat="1" applyFont="1" applyFill="1" applyBorder="1" applyAlignment="1">
      <alignment vertical="center" wrapText="1"/>
    </xf>
    <xf numFmtId="0" fontId="3" fillId="4" borderId="2" xfId="0" applyNumberFormat="1" applyFont="1" applyFill="1" applyBorder="1" applyAlignment="1">
      <alignment vertical="center" wrapText="1"/>
    </xf>
    <xf numFmtId="0" fontId="3" fillId="4" borderId="9" xfId="0" applyNumberFormat="1" applyFont="1" applyFill="1" applyBorder="1" applyAlignment="1">
      <alignment vertical="center" wrapText="1"/>
    </xf>
    <xf numFmtId="0" fontId="6" fillId="2" borderId="0" xfId="0" applyNumberFormat="1" applyFont="1" applyFill="1" applyBorder="1" applyAlignment="1">
      <alignment vertical="center"/>
    </xf>
    <xf numFmtId="0" fontId="6" fillId="2" borderId="10" xfId="0" applyNumberFormat="1" applyFont="1" applyFill="1" applyBorder="1" applyAlignment="1">
      <alignment vertical="center"/>
    </xf>
    <xf numFmtId="0" fontId="6" fillId="2" borderId="11" xfId="0" applyNumberFormat="1" applyFont="1" applyFill="1" applyBorder="1" applyAlignment="1">
      <alignment vertical="center"/>
    </xf>
    <xf numFmtId="0" fontId="6" fillId="2" borderId="12" xfId="0" applyNumberFormat="1" applyFont="1" applyFill="1" applyBorder="1" applyAlignment="1">
      <alignment vertical="center"/>
    </xf>
    <xf numFmtId="0" fontId="6" fillId="2" borderId="10" xfId="0" applyNumberFormat="1" applyFont="1" applyFill="1" applyBorder="1" applyAlignment="1">
      <alignment vertical="center" wrapText="1"/>
    </xf>
    <xf numFmtId="0" fontId="6" fillId="2" borderId="11" xfId="0" applyNumberFormat="1" applyFont="1" applyFill="1" applyBorder="1" applyAlignment="1">
      <alignment vertical="center" wrapText="1"/>
    </xf>
    <xf numFmtId="0" fontId="6" fillId="2" borderId="12" xfId="0" applyNumberFormat="1" applyFont="1" applyFill="1" applyBorder="1" applyAlignment="1">
      <alignment vertical="center" wrapText="1"/>
    </xf>
    <xf numFmtId="0" fontId="1" fillId="5" borderId="0" xfId="0" applyNumberFormat="1" applyFont="1" applyFill="1" applyBorder="1" applyAlignment="1">
      <alignment vertical="center"/>
    </xf>
    <xf numFmtId="0" fontId="5" fillId="5" borderId="0" xfId="0" applyNumberFormat="1" applyFont="1" applyFill="1" applyBorder="1" applyAlignment="1">
      <alignment vertical="center"/>
    </xf>
    <xf numFmtId="0" fontId="5" fillId="5" borderId="13" xfId="0" applyNumberFormat="1" applyFont="1" applyFill="1" applyBorder="1" applyAlignment="1">
      <alignment vertical="center"/>
    </xf>
    <xf numFmtId="0" fontId="5" fillId="5" borderId="14" xfId="0" applyNumberFormat="1" applyFont="1" applyFill="1" applyBorder="1" applyAlignment="1">
      <alignment vertical="center"/>
    </xf>
    <xf numFmtId="0" fontId="5" fillId="5" borderId="15" xfId="0" applyNumberFormat="1" applyFont="1" applyFill="1" applyBorder="1" applyAlignment="1">
      <alignment vertical="center"/>
    </xf>
    <xf numFmtId="200" fontId="5" fillId="5" borderId="14" xfId="0" applyNumberFormat="1" applyFont="1" applyFill="1" applyBorder="1" applyAlignment="1">
      <alignment vertical="center"/>
    </xf>
    <xf numFmtId="200" fontId="5" fillId="5" borderId="15" xfId="0" applyNumberFormat="1" applyFont="1" applyFill="1" applyBorder="1" applyAlignment="1">
      <alignment vertical="center"/>
    </xf>
    <xf numFmtId="201" fontId="5" fillId="5" borderId="14" xfId="0" applyNumberFormat="1" applyFont="1" applyFill="1" applyBorder="1" applyAlignment="1">
      <alignment vertical="center"/>
    </xf>
    <xf numFmtId="201" fontId="5" fillId="5" borderId="15" xfId="0" applyNumberFormat="1" applyFont="1" applyFill="1" applyBorder="1" applyAlignment="1">
      <alignment vertical="center"/>
    </xf>
    <xf numFmtId="201" fontId="5" fillId="5" borderId="16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3" fillId="0" borderId="2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 wrapText="1"/>
    </xf>
    <xf numFmtId="0" fontId="3" fillId="0" borderId="2" xfId="0" applyNumberFormat="1" applyFont="1" applyFill="1" applyBorder="1" applyAlignment="1">
      <alignment vertical="center" wrapText="1"/>
    </xf>
    <xf numFmtId="0" fontId="1" fillId="6" borderId="0" xfId="0" applyNumberFormat="1" applyFont="1" applyFill="1" applyBorder="1" applyAlignment="1">
      <alignment vertical="center"/>
    </xf>
    <xf numFmtId="0" fontId="7" fillId="6" borderId="0" xfId="0" applyNumberFormat="1" applyFont="1" applyFill="1" applyBorder="1" applyAlignment="1">
      <alignment vertical="center"/>
    </xf>
    <xf numFmtId="0" fontId="7" fillId="6" borderId="17" xfId="0" applyNumberFormat="1" applyFont="1" applyFill="1" applyBorder="1" applyAlignment="1">
      <alignment vertical="center"/>
    </xf>
    <xf numFmtId="0" fontId="7" fillId="6" borderId="18" xfId="0" applyNumberFormat="1" applyFont="1" applyFill="1" applyBorder="1" applyAlignment="1">
      <alignment vertical="center"/>
    </xf>
    <xf numFmtId="0" fontId="7" fillId="6" borderId="19" xfId="0" applyNumberFormat="1" applyFont="1" applyFill="1" applyBorder="1" applyAlignment="1">
      <alignment vertical="center"/>
    </xf>
    <xf numFmtId="202" fontId="7" fillId="6" borderId="17" xfId="0" applyNumberFormat="1" applyFont="1" applyFill="1" applyBorder="1" applyAlignment="1">
      <alignment vertical="center"/>
    </xf>
    <xf numFmtId="202" fontId="7" fillId="6" borderId="18" xfId="0" applyNumberFormat="1" applyFont="1" applyFill="1" applyBorder="1" applyAlignment="1">
      <alignment vertical="center"/>
    </xf>
    <xf numFmtId="201" fontId="7" fillId="6" borderId="18" xfId="0" applyNumberFormat="1" applyFont="1" applyFill="1" applyBorder="1" applyAlignment="1">
      <alignment vertical="center"/>
    </xf>
    <xf numFmtId="203" fontId="7" fillId="6" borderId="18" xfId="0" applyNumberFormat="1" applyFont="1" applyFill="1" applyBorder="1" applyAlignment="1">
      <alignment vertical="center"/>
    </xf>
    <xf numFmtId="204" fontId="7" fillId="6" borderId="18" xfId="0" applyNumberFormat="1" applyFont="1" applyFill="1" applyBorder="1" applyAlignment="1">
      <alignment vertical="center"/>
    </xf>
    <xf numFmtId="202" fontId="7" fillId="6" borderId="19" xfId="0" applyNumberFormat="1" applyFont="1" applyFill="1" applyBorder="1" applyAlignment="1">
      <alignment vertical="center"/>
    </xf>
    <xf numFmtId="202" fontId="7" fillId="6" borderId="20" xfId="0" applyNumberFormat="1" applyFont="1" applyFill="1" applyBorder="1" applyAlignment="1">
      <alignment vertical="center"/>
    </xf>
    <xf numFmtId="0" fontId="5" fillId="5" borderId="21" xfId="0" applyNumberFormat="1" applyFont="1" applyFill="1" applyBorder="1" applyAlignment="1">
      <alignment vertical="center"/>
    </xf>
    <xf numFmtId="0" fontId="5" fillId="5" borderId="22" xfId="0" applyNumberFormat="1" applyFont="1" applyFill="1" applyBorder="1" applyAlignment="1">
      <alignment vertical="center"/>
    </xf>
    <xf numFmtId="0" fontId="5" fillId="5" borderId="23" xfId="0" applyNumberFormat="1" applyFont="1" applyFill="1" applyBorder="1" applyAlignment="1">
      <alignment vertical="center"/>
    </xf>
    <xf numFmtId="0" fontId="5" fillId="5" borderId="24" xfId="0" applyNumberFormat="1" applyFont="1" applyFill="1" applyBorder="1" applyAlignment="1">
      <alignment vertical="center"/>
    </xf>
    <xf numFmtId="0" fontId="5" fillId="5" borderId="25" xfId="0" applyNumberFormat="1" applyFont="1" applyFill="1" applyBorder="1" applyAlignment="1">
      <alignment vertical="center"/>
    </xf>
    <xf numFmtId="0" fontId="5" fillId="5" borderId="26" xfId="0" applyNumberFormat="1" applyFont="1" applyFill="1" applyBorder="1" applyAlignment="1">
      <alignment vertical="center"/>
    </xf>
    <xf numFmtId="0" fontId="5" fillId="5" borderId="27" xfId="0" applyNumberFormat="1" applyFont="1" applyFill="1" applyBorder="1" applyAlignment="1">
      <alignment vertical="center"/>
    </xf>
    <xf numFmtId="0" fontId="5" fillId="5" borderId="28" xfId="0" applyNumberFormat="1" applyFont="1" applyFill="1" applyBorder="1" applyAlignment="1">
      <alignment vertical="center"/>
    </xf>
    <xf numFmtId="203" fontId="5" fillId="5" borderId="21" xfId="0" applyNumberFormat="1" applyFont="1" applyFill="1" applyBorder="1" applyAlignment="1">
      <alignment vertical="center"/>
    </xf>
    <xf numFmtId="203" fontId="5" fillId="5" borderId="22" xfId="0" applyNumberFormat="1" applyFont="1" applyFill="1" applyBorder="1" applyAlignment="1">
      <alignment vertical="center"/>
    </xf>
    <xf numFmtId="203" fontId="5" fillId="5" borderId="23" xfId="0" applyNumberFormat="1" applyFont="1" applyFill="1" applyBorder="1" applyAlignment="1">
      <alignment vertical="center"/>
    </xf>
    <xf numFmtId="203" fontId="5" fillId="5" borderId="24" xfId="0" applyNumberFormat="1" applyFont="1" applyFill="1" applyBorder="1" applyAlignment="1">
      <alignment vertical="center"/>
    </xf>
    <xf numFmtId="203" fontId="5" fillId="5" borderId="0" xfId="0" applyNumberFormat="1" applyFont="1" applyFill="1" applyBorder="1" applyAlignment="1">
      <alignment vertical="center"/>
    </xf>
    <xf numFmtId="203" fontId="5" fillId="5" borderId="25" xfId="0" applyNumberFormat="1" applyFont="1" applyFill="1" applyBorder="1" applyAlignment="1">
      <alignment vertical="center"/>
    </xf>
    <xf numFmtId="201" fontId="5" fillId="5" borderId="24" xfId="0" applyNumberFormat="1" applyFont="1" applyFill="1" applyBorder="1" applyAlignment="1">
      <alignment vertical="center"/>
    </xf>
    <xf numFmtId="201" fontId="5" fillId="5" borderId="0" xfId="0" applyNumberFormat="1" applyFont="1" applyFill="1" applyBorder="1" applyAlignment="1">
      <alignment vertical="center"/>
    </xf>
    <xf numFmtId="201" fontId="5" fillId="5" borderId="25" xfId="0" applyNumberFormat="1" applyFont="1" applyFill="1" applyBorder="1" applyAlignment="1">
      <alignment vertical="center"/>
    </xf>
    <xf numFmtId="203" fontId="5" fillId="5" borderId="26" xfId="0" applyNumberFormat="1" applyFont="1" applyFill="1" applyBorder="1" applyAlignment="1">
      <alignment vertical="center"/>
    </xf>
    <xf numFmtId="203" fontId="5" fillId="5" borderId="27" xfId="0" applyNumberFormat="1" applyFont="1" applyFill="1" applyBorder="1" applyAlignment="1">
      <alignment vertical="center"/>
    </xf>
    <xf numFmtId="203" fontId="5" fillId="5" borderId="28" xfId="0" applyNumberFormat="1" applyFont="1" applyFill="1" applyBorder="1" applyAlignment="1">
      <alignment vertical="center"/>
    </xf>
    <xf numFmtId="0" fontId="7" fillId="6" borderId="29" xfId="0" applyNumberFormat="1" applyFont="1" applyFill="1" applyBorder="1" applyAlignment="1">
      <alignment vertical="center"/>
    </xf>
    <xf numFmtId="0" fontId="7" fillId="6" borderId="30" xfId="0" applyNumberFormat="1" applyFont="1" applyFill="1" applyBorder="1" applyAlignment="1">
      <alignment vertical="center"/>
    </xf>
    <xf numFmtId="0" fontId="7" fillId="6" borderId="31" xfId="0" applyNumberFormat="1" applyFont="1" applyFill="1" applyBorder="1" applyAlignment="1">
      <alignment vertical="center"/>
    </xf>
    <xf numFmtId="0" fontId="7" fillId="6" borderId="32" xfId="0" applyNumberFormat="1" applyFont="1" applyFill="1" applyBorder="1" applyAlignment="1">
      <alignment vertical="center"/>
    </xf>
    <xf numFmtId="0" fontId="7" fillId="6" borderId="33" xfId="0" applyNumberFormat="1" applyFont="1" applyFill="1" applyBorder="1" applyAlignment="1">
      <alignment vertical="center"/>
    </xf>
    <xf numFmtId="0" fontId="7" fillId="6" borderId="34" xfId="0" applyNumberFormat="1" applyFont="1" applyFill="1" applyBorder="1" applyAlignment="1">
      <alignment vertical="center"/>
    </xf>
    <xf numFmtId="0" fontId="7" fillId="6" borderId="35" xfId="0" applyNumberFormat="1" applyFont="1" applyFill="1" applyBorder="1" applyAlignment="1">
      <alignment vertical="center"/>
    </xf>
    <xf numFmtId="0" fontId="7" fillId="6" borderId="36" xfId="0" applyNumberFormat="1" applyFont="1" applyFill="1" applyBorder="1" applyAlignment="1">
      <alignment vertical="center"/>
    </xf>
    <xf numFmtId="202" fontId="7" fillId="6" borderId="29" xfId="0" applyNumberFormat="1" applyFont="1" applyFill="1" applyBorder="1" applyAlignment="1">
      <alignment vertical="center"/>
    </xf>
    <xf numFmtId="202" fontId="7" fillId="6" borderId="30" xfId="0" applyNumberFormat="1" applyFont="1" applyFill="1" applyBorder="1" applyAlignment="1">
      <alignment vertical="center"/>
    </xf>
    <xf numFmtId="202" fontId="7" fillId="6" borderId="31" xfId="0" applyNumberFormat="1" applyFont="1" applyFill="1" applyBorder="1" applyAlignment="1">
      <alignment vertical="center"/>
    </xf>
    <xf numFmtId="202" fontId="7" fillId="6" borderId="32" xfId="0" applyNumberFormat="1" applyFont="1" applyFill="1" applyBorder="1" applyAlignment="1">
      <alignment vertical="center"/>
    </xf>
    <xf numFmtId="202" fontId="7" fillId="6" borderId="0" xfId="0" applyNumberFormat="1" applyFont="1" applyFill="1" applyBorder="1" applyAlignment="1">
      <alignment vertical="center"/>
    </xf>
    <xf numFmtId="202" fontId="7" fillId="6" borderId="33" xfId="0" applyNumberFormat="1" applyFont="1" applyFill="1" applyBorder="1" applyAlignment="1">
      <alignment vertical="center"/>
    </xf>
    <xf numFmtId="201" fontId="7" fillId="6" borderId="32" xfId="0" applyNumberFormat="1" applyFont="1" applyFill="1" applyBorder="1" applyAlignment="1">
      <alignment vertical="center"/>
    </xf>
    <xf numFmtId="201" fontId="7" fillId="6" borderId="0" xfId="0" applyNumberFormat="1" applyFont="1" applyFill="1" applyBorder="1" applyAlignment="1">
      <alignment vertical="center"/>
    </xf>
    <xf numFmtId="201" fontId="7" fillId="6" borderId="33" xfId="0" applyNumberFormat="1" applyFont="1" applyFill="1" applyBorder="1" applyAlignment="1">
      <alignment vertical="center"/>
    </xf>
    <xf numFmtId="203" fontId="7" fillId="6" borderId="32" xfId="0" applyNumberFormat="1" applyFont="1" applyFill="1" applyBorder="1" applyAlignment="1">
      <alignment vertical="center"/>
    </xf>
    <xf numFmtId="203" fontId="7" fillId="6" borderId="0" xfId="0" applyNumberFormat="1" applyFont="1" applyFill="1" applyBorder="1" applyAlignment="1">
      <alignment vertical="center"/>
    </xf>
    <xf numFmtId="203" fontId="7" fillId="6" borderId="33" xfId="0" applyNumberFormat="1" applyFont="1" applyFill="1" applyBorder="1" applyAlignment="1">
      <alignment vertical="center"/>
    </xf>
    <xf numFmtId="203" fontId="7" fillId="6" borderId="34" xfId="0" applyNumberFormat="1" applyFont="1" applyFill="1" applyBorder="1" applyAlignment="1">
      <alignment vertical="center"/>
    </xf>
    <xf numFmtId="203" fontId="7" fillId="6" borderId="35" xfId="0" applyNumberFormat="1" applyFont="1" applyFill="1" applyBorder="1" applyAlignment="1">
      <alignment vertical="center"/>
    </xf>
    <xf numFmtId="203" fontId="7" fillId="6" borderId="36" xfId="0" applyNumberFormat="1" applyFont="1" applyFill="1" applyBorder="1" applyAlignment="1">
      <alignment vertical="center"/>
    </xf>
    <xf numFmtId="203" fontId="5" fillId="5" borderId="37" xfId="0" applyNumberFormat="1" applyFont="1" applyFill="1" applyBorder="1" applyAlignment="1">
      <alignment vertical="center"/>
    </xf>
    <xf numFmtId="203" fontId="5" fillId="5" borderId="2" xfId="0" applyNumberFormat="1" applyFont="1" applyFill="1" applyBorder="1" applyAlignment="1">
      <alignment vertical="center"/>
    </xf>
    <xf numFmtId="203" fontId="7" fillId="6" borderId="38" xfId="0" applyNumberFormat="1" applyFont="1" applyFill="1" applyBorder="1" applyAlignment="1">
      <alignment vertical="center"/>
    </xf>
    <xf numFmtId="203" fontId="7" fillId="6" borderId="2" xfId="0" applyNumberFormat="1" applyFont="1" applyFill="1" applyBorder="1" applyAlignment="1">
      <alignment vertical="center"/>
    </xf>
    <xf numFmtId="202" fontId="7" fillId="6" borderId="34" xfId="0" applyNumberFormat="1" applyFont="1" applyFill="1" applyBorder="1" applyAlignment="1">
      <alignment vertical="center"/>
    </xf>
    <xf numFmtId="202" fontId="7" fillId="6" borderId="35" xfId="0" applyNumberFormat="1" applyFont="1" applyFill="1" applyBorder="1" applyAlignment="1">
      <alignment vertical="center"/>
    </xf>
    <xf numFmtId="202" fontId="7" fillId="6" borderId="36" xfId="0" applyNumberFormat="1" applyFont="1" applyFill="1" applyBorder="1" applyAlignment="1">
      <alignment vertical="center"/>
    </xf>
    <xf numFmtId="202" fontId="7" fillId="6" borderId="38" xfId="0" applyNumberFormat="1" applyFont="1" applyFill="1" applyBorder="1" applyAlignment="1">
      <alignment vertical="center"/>
    </xf>
    <xf numFmtId="202" fontId="7" fillId="6" borderId="2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7ffa85b5f4479b" /><Relationship Type="http://schemas.openxmlformats.org/officeDocument/2006/relationships/theme" Target="/xl/theme/theme1.xml" Id="Ra5699793ab8047d9" /><Relationship Type="http://schemas.openxmlformats.org/officeDocument/2006/relationships/sharedStrings" Target="/xl/sharedStrings.xml" Id="R54d1cc63f30642ff" /><Relationship Type="http://schemas.openxmlformats.org/officeDocument/2006/relationships/worksheet" Target="/xl/worksheets/sheet1.xml" Id="Rfcb240671b804d64" /><Relationship Type="http://schemas.openxmlformats.org/officeDocument/2006/relationships/worksheet" Target="/xl/worksheets/sheet2.xml" Id="Rc3a296a6162f4c05" /><Relationship Type="http://schemas.openxmlformats.org/officeDocument/2006/relationships/worksheet" Target="/xl/worksheets/sheet3.xml" Id="Re0466ecf6cca4a44" /><Relationship Type="http://schemas.openxmlformats.org/officeDocument/2006/relationships/worksheet" Target="/xl/worksheets/sheet4.xml" Id="R64bce7fef6f84176" /><Relationship Type="http://schemas.openxmlformats.org/officeDocument/2006/relationships/worksheet" Target="/xl/worksheets/sheet5.xml" Id="Racc4bfaf54ff4285" /><Relationship Type="http://schemas.openxmlformats.org/officeDocument/2006/relationships/worksheet" Target="/xl/worksheets/sheet6.xml" Id="R8a87a4e1c4f54f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8" hidden="0" customWidth="1"/>
    <col min="2" max="2" width="22" hidden="0" customWidth="1"/>
    <col min="3" max="3" width="16" hidden="0" customWidth="1"/>
    <col min="4" max="4" width="16" hidden="0" customWidth="1"/>
    <col min="5" max="5" width="16" hidden="0" customWidth="1"/>
    <col min="6" max="6" width="16" hidden="0" customWidth="1"/>
  </cols>
  <sheetData>
    <row r="1" ht="36" customHeight="1">
      <c r="A1" s="4" t="str">
        <v>Юнит-экономика: товар</v>
      </c>
      <c r="B1" s="4"/>
      <c r="C1" s="4"/>
      <c r="D1" s="4"/>
      <c r="E1" s="4"/>
      <c r="F1" s="4"/>
    </row>
    <row r="2" ht="34" customHeight="1">
      <c r="A2" s="7" t="str">
        <v>Шаблон Aksanov.Digital - вводные выделены желтым, расчеты выполняются формулами</v>
      </c>
      <c r="B2" s="7"/>
      <c r="C2" s="7"/>
      <c r="D2" s="7"/>
      <c r="E2" s="7"/>
      <c r="F2" s="7"/>
    </row>
    <row r="3">
      <c r="A3" s="2"/>
      <c r="B3" s="2"/>
      <c r="C3" s="2"/>
      <c r="D3" s="2"/>
      <c r="E3" s="2"/>
      <c r="F3" s="2"/>
    </row>
    <row r="4" ht="25" customHeight="1">
      <c r="A4" s="10" t="str">
        <v>Как работать</v>
      </c>
      <c r="B4" s="10"/>
      <c r="C4" s="10"/>
      <c r="D4" s="10"/>
      <c r="E4" s="10"/>
      <c r="F4" s="10"/>
    </row>
    <row r="5" ht="34" customHeight="1">
      <c r="A5" s="13" t="str">
        <v>1</v>
      </c>
      <c r="B5" s="14" t="str">
        <v>Откройте лист «Вводные»</v>
      </c>
      <c r="C5" s="14" t="str">
        <v>Заполните желтые ячейки своими данными. Проценты вводятся как 5%, а не как число 5.</v>
      </c>
      <c r="D5" s="14"/>
      <c r="E5" s="14"/>
      <c r="F5" s="14"/>
    </row>
    <row r="6" ht="34" customHeight="1">
      <c r="A6" s="13" t="str">
        <v>2</v>
      </c>
      <c r="B6" s="14" t="str">
        <v>Проверьте расчет</v>
      </c>
      <c r="C6" s="14" t="str">
        <v>На листе «Юнит-экономика» собраны ключевые показатели и точка безубыточности.</v>
      </c>
      <c r="D6" s="14"/>
      <c r="E6" s="14"/>
      <c r="F6" s="14"/>
    </row>
    <row r="7" ht="34" customHeight="1">
      <c r="A7" s="13" t="str">
        <v>3</v>
      </c>
      <c r="B7" s="14" t="str">
        <v>Сравните сценарии</v>
      </c>
      <c r="C7" s="14" t="str">
        <v>На листе «Сценарии» измените желтые коэффициенты для пессимистичного и целевого вариантов.</v>
      </c>
      <c r="D7" s="14"/>
      <c r="E7" s="14"/>
      <c r="F7" s="14"/>
    </row>
    <row r="8" ht="34" customHeight="1">
      <c r="A8" s="13" t="str">
        <v>4</v>
      </c>
      <c r="B8" s="14" t="str">
        <v>Посмотрите 12 месяцев</v>
      </c>
      <c r="C8" s="14" t="str">
        <v>Лист «Помесячный прогноз» использует темпы роста из вводных и показывает динамику прибыли.</v>
      </c>
      <c r="D8" s="14"/>
      <c r="E8" s="14"/>
      <c r="F8" s="14"/>
    </row>
    <row r="9" ht="34" customHeight="1">
      <c r="A9" s="13" t="str">
        <v>5</v>
      </c>
      <c r="B9" s="14" t="str">
        <v>Сверьте смысл метрик</v>
      </c>
      <c r="C9" s="14" t="str">
        <v>Определения и ограничения собраны на листе «Справка».</v>
      </c>
      <c r="D9" s="14"/>
      <c r="E9" s="14"/>
      <c r="F9" s="14"/>
    </row>
    <row r="10">
      <c r="A10" s="2"/>
      <c r="B10" s="2"/>
      <c r="C10" s="2"/>
      <c r="D10" s="2"/>
      <c r="E10" s="2"/>
      <c r="F10" s="2"/>
    </row>
    <row r="11" ht="25" customHeight="1">
      <c r="A11" s="10" t="str">
        <v>Что считает модель</v>
      </c>
      <c r="B11" s="10"/>
      <c r="C11" s="10"/>
      <c r="D11" s="10"/>
      <c r="E11" s="10"/>
      <c r="F11" s="10"/>
    </row>
    <row r="12" ht="38" customHeight="1">
      <c r="A12" s="15" t="str">
        <v>Единица расчета</v>
      </c>
      <c r="B12" s="14" t="str">
        <v>Один оплаченный заказ. Если корзина содержит несколько товаров, себестоимость указывается на весь заказ.</v>
      </c>
      <c r="C12" s="14"/>
      <c r="D12" s="14"/>
      <c r="E12" s="14"/>
      <c r="F12" s="14"/>
    </row>
    <row r="13" ht="38" customHeight="1">
      <c r="A13" s="15" t="str">
        <v>Граница модели</v>
      </c>
      <c r="B13" s="14" t="str">
        <v>Юнит-экономика показывает прибыльность единицы и не заменяет полный P&amp;L. Постоянные расходы вынесены отдельно.</v>
      </c>
      <c r="C13" s="14"/>
      <c r="D13" s="14"/>
      <c r="E13" s="14"/>
      <c r="F13" s="14"/>
    </row>
    <row r="14" ht="38" customHeight="1">
      <c r="A14" s="15" t="str">
        <v>Формулы</v>
      </c>
      <c r="B14" s="14" t="str">
        <v>Все производные показатели остаются формулами Excel. При изменении вводных расчет обновляется.</v>
      </c>
      <c r="C14" s="14"/>
      <c r="D14" s="14"/>
      <c r="E14" s="14"/>
      <c r="F14" s="14"/>
    </row>
    <row r="15" ht="38" customHeight="1">
      <c r="A15" s="15" t="str">
        <v>Источник методики</v>
      </c>
      <c r="B15" s="14" t="str">
        <v>unit-economics-facts.md, Knowledge, обновлено 07.07.2026. Бенчмарки используются как ориентиры, а не как нормы.</v>
      </c>
      <c r="C15" s="14"/>
      <c r="D15" s="14"/>
      <c r="E15" s="14"/>
      <c r="F15" s="14"/>
    </row>
    <row r="16">
      <c r="A16" s="2"/>
      <c r="B16" s="2"/>
      <c r="C16" s="2"/>
      <c r="D16" s="2"/>
      <c r="E16" s="2"/>
      <c r="F16" s="2"/>
    </row>
    <row r="17">
      <c r="A17" s="2"/>
      <c r="B17" s="2"/>
      <c r="C17" s="2"/>
      <c r="D17" s="2"/>
      <c r="E17" s="2"/>
      <c r="F17" s="2"/>
    </row>
    <row r="18">
      <c r="A18" s="25" t="str">
        <v>Важно: сопоставляйте CAC и LTV на одной базе. Если CAC включает только рекламу, не сравнивайте его с LTV, рассчитанным после всех расходов. Для управленческого решения дополнительно смотрите денежный поток, налоги и ограничения производства.</v>
      </c>
      <c r="B18" s="26"/>
      <c r="C18" s="26"/>
      <c r="D18" s="26"/>
      <c r="E18" s="26"/>
      <c r="F18" s="27"/>
    </row>
    <row r="19">
      <c r="A19" s="28"/>
      <c r="B19" s="29"/>
      <c r="C19" s="29"/>
      <c r="D19" s="29"/>
      <c r="E19" s="29"/>
      <c r="F19" s="30"/>
    </row>
    <row r="20">
      <c r="A20" s="31"/>
      <c r="B20" s="32"/>
      <c r="C20" s="32"/>
      <c r="D20" s="32"/>
      <c r="E20" s="32"/>
      <c r="F20" s="33"/>
    </row>
    <row r="21">
      <c r="A21" s="2"/>
      <c r="B21" s="2"/>
      <c r="C21" s="2"/>
      <c r="D21" s="2"/>
      <c r="E21" s="2"/>
      <c r="F21" s="2"/>
    </row>
    <row r="22">
      <c r="A22" s="2"/>
      <c r="B22" s="2"/>
      <c r="C22" s="2"/>
      <c r="D22" s="2"/>
      <c r="E22" s="2"/>
      <c r="F22" s="2"/>
    </row>
    <row r="23">
      <c r="A23" s="2"/>
      <c r="B23" s="2"/>
      <c r="C23" s="2"/>
      <c r="D23" s="2"/>
      <c r="E23" s="2"/>
      <c r="F23" s="2"/>
    </row>
    <row r="24">
      <c r="A24" s="2"/>
      <c r="B24" s="2"/>
      <c r="C24" s="2"/>
      <c r="D24" s="2"/>
      <c r="E24" s="2"/>
      <c r="F24" s="2"/>
    </row>
    <row r="25">
      <c r="A25" s="2"/>
      <c r="B25" s="2"/>
      <c r="C25" s="2"/>
      <c r="D25" s="2"/>
      <c r="E25" s="2"/>
      <c r="F25" s="2"/>
    </row>
    <row r="26">
      <c r="A26" s="2"/>
      <c r="B26" s="2"/>
      <c r="C26" s="2"/>
      <c r="D26" s="2"/>
      <c r="E26" s="2"/>
      <c r="F26" s="2"/>
    </row>
    <row r="27">
      <c r="A27" s="2"/>
      <c r="B27" s="2"/>
      <c r="C27" s="2"/>
      <c r="D27" s="2"/>
      <c r="E27" s="2"/>
      <c r="F27" s="2"/>
    </row>
    <row r="28">
      <c r="A28" s="2"/>
      <c r="B28" s="2"/>
      <c r="C28" s="2"/>
      <c r="D28" s="2"/>
      <c r="E28" s="2"/>
      <c r="F28" s="2"/>
    </row>
  </sheetData>
  <mergeCells>
    <mergeCell ref="A1:F1"/>
    <mergeCell ref="A2:F2"/>
    <mergeCell ref="A4:F4"/>
    <mergeCell ref="B5:F5"/>
    <mergeCell ref="B6:F6"/>
    <mergeCell ref="B7:F7"/>
    <mergeCell ref="B8:F8"/>
    <mergeCell ref="B9:F9"/>
    <mergeCell ref="A11:F11"/>
    <mergeCell ref="B12:F12"/>
    <mergeCell ref="B13:F13"/>
    <mergeCell ref="B14:F14"/>
    <mergeCell ref="B15:F15"/>
    <mergeCell ref="A18:F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34" hidden="0" customWidth="1"/>
    <col min="2" max="2" width="18" hidden="0" customWidth="1"/>
    <col min="3" max="3" width="20" hidden="0" customWidth="1"/>
    <col min="4" max="4" width="46" hidden="0" customWidth="1"/>
  </cols>
  <sheetData>
    <row r="1" ht="36" customHeight="1">
      <c r="A1" s="4" t="str">
        <v>Вводные: товар</v>
      </c>
      <c r="B1" s="4"/>
      <c r="C1" s="4"/>
      <c r="D1" s="4"/>
    </row>
    <row r="2" ht="34" customHeight="1">
      <c r="A2" s="7" t="str">
        <v>Меняйте только желтые ячейки. Денежные значения должны быть в одной валюте.</v>
      </c>
      <c r="B2" s="7"/>
      <c r="C2" s="7"/>
      <c r="D2" s="7"/>
    </row>
    <row r="3">
      <c r="A3" s="2"/>
      <c r="B3" s="2"/>
      <c r="C3" s="2"/>
      <c r="D3" s="2"/>
    </row>
    <row r="4">
      <c r="A4" s="38" t="str">
        <v>Параметр</v>
      </c>
      <c r="B4" s="39" t="str">
        <v>Значение</v>
      </c>
      <c r="C4" s="39" t="str">
        <v>Единица</v>
      </c>
      <c r="D4" s="40" t="str">
        <v>Как понимать</v>
      </c>
    </row>
    <row r="5" ht="27" customHeight="1">
      <c r="A5" s="2" t="str">
        <v>Валюта</v>
      </c>
      <c r="B5" s="44" t="str">
        <v>USD</v>
      </c>
      <c r="C5" s="2" t="str">
        <v>код</v>
      </c>
      <c r="D5" s="53" t="str">
        <v>USD, EUR, KZT, UZS, AED или RUB</v>
      </c>
    </row>
    <row r="6" ht="27" customHeight="1">
      <c r="A6" s="2" t="str">
        <v>Средний чек</v>
      </c>
      <c r="B6" s="44" t="n">
        <v>5000</v>
      </c>
      <c r="C6" s="2" t="str">
        <v>за заказ</v>
      </c>
      <c r="D6" s="53" t="str">
        <v>Выручка до потерь и возвратов</v>
      </c>
    </row>
    <row r="7" ht="27" customHeight="1">
      <c r="A7" s="2" t="str">
        <v>Себестоимость товаров</v>
      </c>
      <c r="B7" s="46" t="n">
        <v>1700</v>
      </c>
      <c r="C7" s="2" t="str">
        <v>за заказ</v>
      </c>
      <c r="D7" s="53" t="str">
        <v>Себестоимость всей корзины</v>
      </c>
    </row>
    <row r="8" ht="27" customHeight="1">
      <c r="A8" s="2" t="str">
        <v>Эквайринг</v>
      </c>
      <c r="B8" s="48" t="n">
        <v>0.025</v>
      </c>
      <c r="C8" s="2" t="str">
        <v>% чистой выручки</v>
      </c>
      <c r="D8" s="53" t="str">
        <v>Комиссия платежной системы</v>
      </c>
    </row>
    <row r="9" ht="27" customHeight="1">
      <c r="A9" s="2" t="str">
        <v>Доставка за счет компании</v>
      </c>
      <c r="B9" s="46" t="n">
        <v>450</v>
      </c>
      <c r="C9" s="2" t="str">
        <v>за заказ</v>
      </c>
      <c r="D9" s="53" t="str">
        <v>Только оплачиваемая бизнесом часть</v>
      </c>
    </row>
    <row r="10" ht="27" customHeight="1">
      <c r="A10" s="2" t="str">
        <v>Упаковка и фулфилмент</v>
      </c>
      <c r="B10" s="46" t="n">
        <v>180</v>
      </c>
      <c r="C10" s="2" t="str">
        <v>за заказ</v>
      </c>
      <c r="D10" s="53" t="str">
        <v>Сборка, упаковка, обработка</v>
      </c>
    </row>
    <row r="11" ht="27" customHeight="1">
      <c r="A11" s="2" t="str">
        <v>Налог с выручки</v>
      </c>
      <c r="B11" s="48" t="n">
        <v>0.06</v>
      </c>
      <c r="C11" s="2" t="str">
        <v>% чистой выручки</v>
      </c>
      <c r="D11" s="53" t="str">
        <v>Если налог считается иначе, замените формулу вручную</v>
      </c>
    </row>
    <row r="12" ht="27" customHeight="1">
      <c r="A12" s="2" t="str">
        <v>Потери от возвратов и брака</v>
      </c>
      <c r="B12" s="48" t="n">
        <v>0.05</v>
      </c>
      <c r="C12" s="2" t="str">
        <v>% среднего чека</v>
      </c>
      <c r="D12" s="53" t="str">
        <v>Возвраты, списания, обратная логистика</v>
      </c>
    </row>
    <row r="13" ht="27" customHeight="1">
      <c r="A13" s="2" t="str">
        <v>Прочие переменные расходы</v>
      </c>
      <c r="B13" s="46" t="n">
        <v>100</v>
      </c>
      <c r="C13" s="2" t="str">
        <v>за заказ</v>
      </c>
      <c r="D13" s="53" t="str">
        <v>Бонусы, расходники, сервисные комиссии</v>
      </c>
    </row>
    <row r="14" ht="27" customHeight="1">
      <c r="A14" s="2" t="str">
        <v>CAC / CPA</v>
      </c>
      <c r="B14" s="46" t="n">
        <v>900</v>
      </c>
      <c r="C14" s="2" t="str">
        <v>за новый заказ</v>
      </c>
      <c r="D14" s="53" t="str">
        <v>Полная стоимость привлечения, если доступна</v>
      </c>
    </row>
    <row r="15" ht="27" customHeight="1">
      <c r="A15" s="2" t="str">
        <v>Заказов в месяц</v>
      </c>
      <c r="B15" s="46" t="n">
        <v>300</v>
      </c>
      <c r="C15" s="2" t="str">
        <v>заказов</v>
      </c>
      <c r="D15" s="53" t="str">
        <v>Оплаченные заказы</v>
      </c>
    </row>
    <row r="16" ht="27" customHeight="1">
      <c r="A16" s="2" t="str">
        <v>Заказов на клиента за срок жизни</v>
      </c>
      <c r="B16" s="46" t="n">
        <v>2.2</v>
      </c>
      <c r="C16" s="2" t="str">
        <v>заказа</v>
      </c>
      <c r="D16" s="53" t="str">
        <v>Первый и повторные заказы</v>
      </c>
    </row>
    <row r="17" ht="27" customHeight="1">
      <c r="A17" s="2" t="str">
        <v>Постоянные расходы в месяц</v>
      </c>
      <c r="B17" s="46" t="n">
        <v>350000</v>
      </c>
      <c r="C17" s="2" t="str">
        <v>в месяц</v>
      </c>
      <c r="D17" s="53" t="str">
        <v>Команда, офис, постоянные сервисы</v>
      </c>
    </row>
    <row r="18" ht="27" customHeight="1">
      <c r="A18" s="2" t="str">
        <v>Рост заказов в месяц</v>
      </c>
      <c r="B18" s="48" t="n">
        <v>0.05</v>
      </c>
      <c r="C18" s="2" t="str">
        <v>%</v>
      </c>
      <c r="D18" s="53" t="str">
        <v>Для прогноза на 12 месяцев</v>
      </c>
    </row>
    <row r="19" ht="27" customHeight="1">
      <c r="A19" s="11" t="str">
        <v>Рост среднего чека в месяц</v>
      </c>
      <c r="B19" s="50" t="n">
        <v>0</v>
      </c>
      <c r="C19" s="11" t="str">
        <v>%</v>
      </c>
      <c r="D19" s="54" t="str">
        <v>Для прогноза на 12 месяцев</v>
      </c>
    </row>
    <row r="20">
      <c r="A20" s="2"/>
      <c r="B20" s="2"/>
      <c r="C20" s="2"/>
      <c r="D20" s="2"/>
    </row>
    <row r="21">
      <c r="A21" s="25" t="str">
        <v>Примерные значения нужны только для первого открытия. Перед решением замените их фактическими данными. Если компания считает себестоимость или налог по другой базе, скорректируйте соответствующую формулу в расчетном листе.</v>
      </c>
      <c r="B21" s="26"/>
      <c r="C21" s="26"/>
      <c r="D21" s="27"/>
    </row>
    <row r="22">
      <c r="A22" s="28"/>
      <c r="B22" s="29"/>
      <c r="C22" s="29"/>
      <c r="D22" s="30"/>
    </row>
    <row r="23">
      <c r="A23" s="31"/>
      <c r="B23" s="32"/>
      <c r="C23" s="32"/>
      <c r="D23" s="33"/>
    </row>
    <row r="24">
      <c r="A24" s="2"/>
      <c r="B24" s="2"/>
      <c r="C24" s="2"/>
      <c r="D24" s="2"/>
    </row>
  </sheetData>
  <mergeCells>
    <mergeCell ref="A1:D1"/>
    <mergeCell ref="A2:D2"/>
    <mergeCell ref="A21:D23"/>
  </mergeCells>
  <dataValidations count="1">
    <dataValidation type="list" sqref="B5">
      <formula1>"USD,EUR,KZT,UZS,AED,RUB"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37" hidden="0" customWidth="1"/>
    <col min="2" max="2" width="18" hidden="0" customWidth="1"/>
    <col min="3" max="3" width="16" hidden="0" customWidth="1"/>
    <col min="4" max="4" width="48" hidden="0" customWidth="1"/>
  </cols>
  <sheetData>
    <row r="1" ht="36" customHeight="1">
      <c r="A1" s="4" t="str">
        <v>Юнит-экономика товара</v>
      </c>
      <c r="B1" s="4"/>
      <c r="C1" s="4"/>
      <c r="D1" s="4"/>
    </row>
    <row r="2" ht="34" customHeight="1">
      <c r="A2" s="7" t="str">
        <v>Расчет на один заказ и на текущий месячный объем</v>
      </c>
      <c r="B2" s="7"/>
      <c r="C2" s="7"/>
      <c r="D2" s="7"/>
    </row>
    <row r="3">
      <c r="A3" s="2"/>
      <c r="B3" s="2"/>
      <c r="C3" s="2"/>
      <c r="D3" s="2"/>
    </row>
    <row r="4">
      <c r="A4" s="38" t="str">
        <v>Показатель</v>
      </c>
      <c r="B4" s="39" t="str">
        <v>Результат</v>
      </c>
      <c r="C4" s="39" t="str">
        <v>Единица</v>
      </c>
      <c r="D4" s="40" t="str">
        <v>Смысл</v>
      </c>
    </row>
    <row r="5" ht="28" customHeight="1">
      <c r="A5" s="2" t="str">
        <v>Средний чек</v>
      </c>
      <c r="B5" s="61" t="n">
        <f>'Вводные'!B6</f>
        <v>5000</v>
      </c>
      <c r="C5" s="2" t="str">
        <v>за заказ</v>
      </c>
      <c r="D5" s="53" t="str">
        <v>Выручка до возвратов</v>
      </c>
    </row>
    <row r="6" ht="28" customHeight="1">
      <c r="A6" s="2" t="str">
        <v>Чистая выручка после потерь</v>
      </c>
      <c r="B6" s="61" t="n">
        <f>'Вводные'!B6*(1-'Вводные'!B12)</f>
        <v>4750</v>
      </c>
      <c r="C6" s="2" t="str">
        <v>за заказ</v>
      </c>
      <c r="D6" s="53" t="str">
        <v>Средний чек за вычетом потерь</v>
      </c>
    </row>
    <row r="7" ht="28" customHeight="1">
      <c r="A7" s="2" t="str">
        <v>Себестоимость</v>
      </c>
      <c r="B7" s="61" t="n">
        <f>'Вводные'!B7</f>
        <v>1700</v>
      </c>
      <c r="C7" s="2" t="str">
        <v>за заказ</v>
      </c>
      <c r="D7" s="53" t="str">
        <v>Себестоимость корзины</v>
      </c>
    </row>
    <row r="8" ht="28" customHeight="1">
      <c r="A8" s="2" t="str">
        <v>Эквайринг</v>
      </c>
      <c r="B8" s="61" t="n">
        <f>B6*'Вводные'!B8</f>
        <v>118.75</v>
      </c>
      <c r="C8" s="2" t="str">
        <v>за заказ</v>
      </c>
      <c r="D8" s="53" t="str">
        <v>Комиссия с чистой выручки</v>
      </c>
    </row>
    <row r="9" ht="28" customHeight="1">
      <c r="A9" s="2" t="str">
        <v>Налог</v>
      </c>
      <c r="B9" s="61" t="n">
        <f>B6*'Вводные'!B11</f>
        <v>285</v>
      </c>
      <c r="C9" s="2" t="str">
        <v>за заказ</v>
      </c>
      <c r="D9" s="53" t="str">
        <v>Налог с чистой выручки</v>
      </c>
    </row>
    <row r="10" ht="28" customHeight="1">
      <c r="A10" s="2" t="str">
        <v>Логистика и прочие переменные расходы</v>
      </c>
      <c r="B10" s="61" t="n">
        <f>'Вводные'!B9+'Вводные'!B10+'Вводные'!B13</f>
        <v>730</v>
      </c>
      <c r="C10" s="2" t="str">
        <v>за заказ</v>
      </c>
      <c r="D10" s="53" t="str">
        <v>Доставка, фулфилмент и прочие расходы</v>
      </c>
    </row>
    <row r="11" ht="28" customHeight="1">
      <c r="A11" s="2" t="str">
        <v>CM1 до привлечения</v>
      </c>
      <c r="B11" s="61" t="n">
        <f>B6-B7-B8-B9-B10</f>
        <v>1916.25</v>
      </c>
      <c r="C11" s="2" t="str">
        <v>за заказ</v>
      </c>
      <c r="D11" s="53" t="str">
        <v>Деньги на привлечение и покрытие постоянных расходов</v>
      </c>
    </row>
    <row r="12" ht="28" customHeight="1">
      <c r="A12" s="2" t="str">
        <v>CM1, %</v>
      </c>
      <c r="B12" s="62" t="n">
        <f>IF(B6=0,0,B11/B6)</f>
        <v>0.40342105263157896</v>
      </c>
      <c r="C12" s="2" t="str">
        <v>%</v>
      </c>
      <c r="D12" s="53" t="str">
        <v>Маржа до рекламы</v>
      </c>
    </row>
    <row r="13" ht="28" customHeight="1">
      <c r="A13" s="2" t="str">
        <v>CAC / CPA</v>
      </c>
      <c r="B13" s="61" t="n">
        <f>'Вводные'!B14</f>
        <v>900</v>
      </c>
      <c r="C13" s="2" t="str">
        <v>за заказ</v>
      </c>
      <c r="D13" s="53" t="str">
        <v>Стоимость привлечения</v>
      </c>
    </row>
    <row r="14" ht="28" customHeight="1">
      <c r="A14" s="2" t="str">
        <v>CM2 после привлечения</v>
      </c>
      <c r="B14" s="61" t="n">
        <f>B11-B13</f>
        <v>1016.25</v>
      </c>
      <c r="C14" s="2" t="str">
        <v>за заказ</v>
      </c>
      <c r="D14" s="53" t="str">
        <v>Прибыль заказа после привлечения</v>
      </c>
    </row>
    <row r="15" ht="28" customHeight="1">
      <c r="A15" s="2" t="str">
        <v>CM2, %</v>
      </c>
      <c r="B15" s="62" t="n">
        <f>IF(B6=0,0,B14/B6)</f>
        <v>0.21394736842105264</v>
      </c>
      <c r="C15" s="2" t="str">
        <v>%</v>
      </c>
      <c r="D15" s="53" t="str">
        <v>Маржа после рекламы</v>
      </c>
    </row>
    <row r="16" ht="28" customHeight="1">
      <c r="A16" s="2" t="str">
        <v>Максимально допустимый CAC / CPA</v>
      </c>
      <c r="B16" s="61" t="n">
        <f>B11</f>
        <v>1916.25</v>
      </c>
      <c r="C16" s="2" t="str">
        <v>за заказ</v>
      </c>
      <c r="D16" s="53" t="str">
        <v>Верхняя граница цены привлечения без учета постоянных расходов</v>
      </c>
    </row>
    <row r="17" ht="28" customHeight="1">
      <c r="A17" s="2" t="str">
        <v>ROAS безубыточности</v>
      </c>
      <c r="B17" s="63" t="n">
        <f>IF(B12&lt;=0,0,1/B12)</f>
        <v>2.4787997390737115</v>
      </c>
      <c r="C17" s="2" t="str">
        <v>x</v>
      </c>
      <c r="D17" s="53" t="str">
        <v>Минимальный ROAS до покрытия постоянных расходов</v>
      </c>
    </row>
    <row r="18" ht="28" customHeight="1">
      <c r="A18" s="2" t="str">
        <v>Фактический ROAS</v>
      </c>
      <c r="B18" s="63" t="n">
        <f>IF(B13=0,0,B5/B13)</f>
        <v>5.555555555555555</v>
      </c>
      <c r="C18" s="2" t="str">
        <v>x</v>
      </c>
      <c r="D18" s="53" t="str">
        <v>Средний чек к стоимости привлечения</v>
      </c>
    </row>
    <row r="19" ht="28" customHeight="1">
      <c r="A19" s="2" t="str">
        <v>Profit-LTV до привлечения</v>
      </c>
      <c r="B19" s="61" t="n">
        <f>B11*'Вводные'!B16</f>
        <v>4215.75</v>
      </c>
      <c r="C19" s="2" t="str">
        <v>на клиента</v>
      </c>
      <c r="D19" s="53" t="str">
        <v>Валовая прибыль клиента за весь срок</v>
      </c>
    </row>
    <row r="20" ht="28" customHeight="1">
      <c r="A20" s="2" t="str">
        <v>LTV / CAC</v>
      </c>
      <c r="B20" s="63" t="n">
        <f>IF(B13=0,0,B19/B13)</f>
        <v>4.684166666666667</v>
      </c>
      <c r="C20" s="2" t="str">
        <v>x</v>
      </c>
      <c r="D20" s="53" t="str">
        <v>Ориентир качества привлечения, а не универсальная норма</v>
      </c>
    </row>
    <row r="21" ht="28" customHeight="1">
      <c r="A21" s="2" t="str">
        <v>Окупаемость привлечения</v>
      </c>
      <c r="B21" s="64" t="n">
        <f>IF(B11&lt;=0,0,B13/B11)</f>
        <v>0.46966731898238745</v>
      </c>
      <c r="C21" s="2" t="str">
        <v>заказа</v>
      </c>
      <c r="D21" s="53" t="str">
        <v>Сколько заказов окупают CAC</v>
      </c>
    </row>
    <row r="22" ht="28" customHeight="1">
      <c r="A22" s="2" t="str">
        <v>Вклад в месяц</v>
      </c>
      <c r="B22" s="61" t="n">
        <f>B14*'Вводные'!B15</f>
        <v>304875</v>
      </c>
      <c r="C22" s="2" t="str">
        <v>в месяц</v>
      </c>
      <c r="D22" s="53" t="str">
        <v>CM2 по текущему объему</v>
      </c>
    </row>
    <row r="23" ht="28" customHeight="1">
      <c r="A23" s="2" t="str">
        <v>Операционная прибыль в месяц</v>
      </c>
      <c r="B23" s="61" t="n">
        <f>B22-'Вводные'!B17</f>
        <v>-45125</v>
      </c>
      <c r="C23" s="2" t="str">
        <v>в месяц</v>
      </c>
      <c r="D23" s="53" t="str">
        <v>После постоянных расходов</v>
      </c>
    </row>
    <row r="24" ht="28" customHeight="1">
      <c r="A24" s="11" t="str">
        <v>Заказов для безубыточности</v>
      </c>
      <c r="B24" s="66" t="n">
        <f>IF(B14&lt;=0,0,ROUNDUP('Вводные'!B17/B14,0))</f>
        <v>345</v>
      </c>
      <c r="C24" s="11" t="str">
        <v>заказов</v>
      </c>
      <c r="D24" s="54" t="str">
        <v>Минимальный объем при текущей CM2</v>
      </c>
    </row>
    <row r="25">
      <c r="A25" s="2"/>
      <c r="B25" s="2"/>
      <c r="C25" s="2"/>
      <c r="D25" s="2"/>
    </row>
    <row r="26">
      <c r="A26" s="25" t="str">
        <v>Положительная CM2 еще не означает прибыль всей компании: проверьте операционную прибыль после постоянных расходов и денежный поток. LTV / CAC зависит от полноты CAC и качества данных по повторным заказам.</v>
      </c>
      <c r="B26" s="26"/>
      <c r="C26" s="26"/>
      <c r="D26" s="27"/>
    </row>
    <row r="27">
      <c r="A27" s="28"/>
      <c r="B27" s="29"/>
      <c r="C27" s="29"/>
      <c r="D27" s="30"/>
    </row>
    <row r="28">
      <c r="A28" s="31"/>
      <c r="B28" s="32"/>
      <c r="C28" s="32"/>
      <c r="D28" s="33"/>
    </row>
    <row r="29">
      <c r="A29" s="2"/>
      <c r="B29" s="2"/>
      <c r="C29" s="2"/>
      <c r="D29" s="2"/>
    </row>
  </sheetData>
  <mergeCells>
    <mergeCell ref="A1:D1"/>
    <mergeCell ref="A2:D2"/>
    <mergeCell ref="A26:D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38" hidden="0" customWidth="1"/>
    <col min="2" max="2" width="19" hidden="0" customWidth="1"/>
    <col min="3" max="3" width="19" hidden="0" customWidth="1"/>
    <col min="4" max="4" width="19" hidden="0" customWidth="1"/>
  </cols>
  <sheetData>
    <row r="1" ht="36" customHeight="1">
      <c r="A1" s="4" t="str">
        <v>Сценарии товара</v>
      </c>
      <c r="B1" s="4"/>
      <c r="C1" s="4"/>
      <c r="D1" s="4"/>
    </row>
    <row r="2" ht="34" customHeight="1">
      <c r="A2" s="7" t="str">
        <v>Желтые ячейки - управляемые допущения. 1,00 означает текущее значение.</v>
      </c>
      <c r="B2" s="7"/>
      <c r="C2" s="7"/>
      <c r="D2" s="7"/>
    </row>
    <row r="3">
      <c r="A3" s="2"/>
      <c r="B3" s="2"/>
      <c r="C3" s="2"/>
      <c r="D3" s="2"/>
    </row>
    <row r="4">
      <c r="A4" s="38" t="str">
        <v>Допущение</v>
      </c>
      <c r="B4" s="39" t="str">
        <v>Базовый</v>
      </c>
      <c r="C4" s="39" t="str">
        <v>Пессимистичный</v>
      </c>
      <c r="D4" s="40" t="str">
        <v>Целевой</v>
      </c>
    </row>
    <row r="5">
      <c r="A5" s="2" t="str">
        <v>Средний чек, коэффициент</v>
      </c>
      <c r="B5" s="78" t="n">
        <v>1</v>
      </c>
      <c r="C5" s="79" t="n">
        <v>0.9</v>
      </c>
      <c r="D5" s="79" t="n">
        <v>1.1</v>
      </c>
    </row>
    <row r="6">
      <c r="A6" s="2" t="str">
        <v>Себестоимость, коэффициент</v>
      </c>
      <c r="B6" s="78" t="n">
        <v>1</v>
      </c>
      <c r="C6" s="79" t="n">
        <v>1.1</v>
      </c>
      <c r="D6" s="79" t="n">
        <v>0.95</v>
      </c>
    </row>
    <row r="7">
      <c r="A7" s="2" t="str">
        <v>Потери, изменение п.п.</v>
      </c>
      <c r="B7" s="81" t="n">
        <v>0</v>
      </c>
      <c r="C7" s="82" t="n">
        <v>0.05</v>
      </c>
      <c r="D7" s="82" t="n">
        <v>-0.02</v>
      </c>
    </row>
    <row r="8">
      <c r="A8" s="2" t="str">
        <v>CAC / CPA, коэффициент</v>
      </c>
      <c r="B8" s="78" t="n">
        <v>1</v>
      </c>
      <c r="C8" s="79" t="n">
        <v>1.25</v>
      </c>
      <c r="D8" s="79" t="n">
        <v>0.85</v>
      </c>
    </row>
    <row r="9">
      <c r="A9" s="11" t="str">
        <v>Заказы, коэффициент</v>
      </c>
      <c r="B9" s="110" t="n">
        <v>1</v>
      </c>
      <c r="C9" s="111" t="n">
        <v>0.8</v>
      </c>
      <c r="D9" s="111" t="n">
        <v>1.3</v>
      </c>
    </row>
    <row r="10">
      <c r="A10" s="2"/>
      <c r="B10" s="2"/>
      <c r="C10" s="2"/>
      <c r="D10" s="2"/>
    </row>
    <row r="11" ht="25" customHeight="1">
      <c r="A11" s="10" t="str">
        <v>Результат</v>
      </c>
      <c r="B11" s="10"/>
      <c r="C11" s="10"/>
      <c r="D11" s="10"/>
    </row>
    <row r="12">
      <c r="A12" s="2" t="str">
        <v>Чистая выручка / заказ</v>
      </c>
      <c r="B12" s="98" t="n">
        <f>'Вводные'!B6*B5*(1-MAX(0,'Вводные'!B12+B7))</f>
        <v>4750</v>
      </c>
      <c r="C12" s="99" t="n">
        <f>'Вводные'!B6*C5*(1-MAX(0,'Вводные'!B12+C7))</f>
        <v>4050</v>
      </c>
      <c r="D12" s="99" t="n">
        <f>'Вводные'!B6*D5*(1-MAX(0,'Вводные'!B12+D7))</f>
        <v>5335</v>
      </c>
    </row>
    <row r="13">
      <c r="A13" s="2" t="str">
        <v>CM1 / заказ</v>
      </c>
      <c r="B13" s="98" t="n">
        <f>B12-'Вводные'!B7*B6-B12*'Вводные'!B8-B12*'Вводные'!B11-'Вводные'!B9-'Вводные'!B10-'Вводные'!B13</f>
        <v>1916.25</v>
      </c>
      <c r="C13" s="99" t="n">
        <f>C12-'Вводные'!B7*C6-C12*'Вводные'!B8-C12*'Вводные'!B11-'Вводные'!B9-'Вводные'!B10-'Вводные'!B13</f>
        <v>1105.75</v>
      </c>
      <c r="D13" s="99" t="n">
        <f>D12-'Вводные'!B7*D6-D12*'Вводные'!B8-D12*'Вводные'!B11-'Вводные'!B9-'Вводные'!B10-'Вводные'!B13</f>
        <v>2536.525</v>
      </c>
    </row>
    <row r="14">
      <c r="A14" s="2" t="str">
        <v>CM2 / заказ</v>
      </c>
      <c r="B14" s="98" t="n">
        <f>B13-'Вводные'!B14*B8</f>
        <v>1016.25</v>
      </c>
      <c r="C14" s="99" t="n">
        <f>C13-'Вводные'!B14*C8</f>
        <v>-19.25</v>
      </c>
      <c r="D14" s="99" t="n">
        <f>D13-'Вводные'!B14*D8</f>
        <v>1771.525</v>
      </c>
    </row>
    <row r="15">
      <c r="A15" s="2" t="str">
        <v>CM2, %</v>
      </c>
      <c r="B15" s="101" t="n">
        <f>IF(B12=0,0,B14/B12)</f>
        <v>0.21394736842105264</v>
      </c>
      <c r="C15" s="102" t="n">
        <f>IF(C12=0,0,C14/C12)</f>
        <v>-0.004753086419753087</v>
      </c>
      <c r="D15" s="102" t="n">
        <f>IF(D12=0,0,D14/D12)</f>
        <v>0.3320571696344892</v>
      </c>
    </row>
    <row r="16">
      <c r="A16" s="2" t="str">
        <v>Выручка в месяц</v>
      </c>
      <c r="B16" s="98" t="n">
        <f>'Вводные'!B6*B5*'Вводные'!B15*B9</f>
        <v>1500000</v>
      </c>
      <c r="C16" s="99" t="n">
        <f>'Вводные'!B6*C5*'Вводные'!B15*C9</f>
        <v>1080000</v>
      </c>
      <c r="D16" s="99" t="n">
        <f>'Вводные'!B6*D5*'Вводные'!B15*D9</f>
        <v>2145000</v>
      </c>
    </row>
    <row r="17">
      <c r="A17" s="2" t="str">
        <v>Операционная прибыль</v>
      </c>
      <c r="B17" s="98" t="n">
        <f>B14*'Вводные'!B15*B9-'Вводные'!B17</f>
        <v>-45125</v>
      </c>
      <c r="C17" s="99" t="n">
        <f>C14*'Вводные'!B15*C9-'Вводные'!B17</f>
        <v>-354620</v>
      </c>
      <c r="D17" s="99" t="n">
        <f>D14*'Вводные'!B15*D9-'Вводные'!B17</f>
        <v>340894.75</v>
      </c>
    </row>
    <row r="18">
      <c r="A18" s="2" t="str">
        <v>LTV / CAC</v>
      </c>
      <c r="B18" s="104" t="n">
        <f>IF('Вводные'!B14*B8=0,0,(B13*'Вводные'!B16)/('Вводные'!B14*B8))</f>
        <v>4.684166666666667</v>
      </c>
      <c r="C18" s="105" t="n">
        <f>IF('Вводные'!B14*C8=0,0,(C13*'Вводные'!B16)/('Вводные'!B14*C8))</f>
        <v>2.1623555555555556</v>
      </c>
      <c r="D18" s="105" t="n">
        <f>IF('Вводные'!B14*D8=0,0,(D13*'Вводные'!B16)/('Вводные'!B14*D8))</f>
        <v>7.294581699346406</v>
      </c>
    </row>
    <row r="19">
      <c r="A19" s="11" t="str">
        <v>ROAS безубыточности</v>
      </c>
      <c r="B19" s="112" t="n">
        <f>IF(B13&lt;=0,0,1/(B13/B12))</f>
        <v>2.4787997390737115</v>
      </c>
      <c r="C19" s="113" t="n">
        <f>IF(C13&lt;=0,0,1/(C13/C12))</f>
        <v>3.6626723943025095</v>
      </c>
      <c r="D19" s="113" t="n">
        <f>IF(D13&lt;=0,0,1/(D13/D12))</f>
        <v>2.1032712076561437</v>
      </c>
    </row>
    <row r="20">
      <c r="A20" s="2"/>
      <c r="B20" s="2"/>
      <c r="C20" s="2"/>
      <c r="D20" s="2"/>
    </row>
    <row r="21">
      <c r="A21" s="25" t="str">
        <v>Сценарии нужны для проверки устойчивости модели. Целевой сценарий не считается прогнозом продаж без подтвержденных рычагов роста.</v>
      </c>
      <c r="B21" s="26"/>
      <c r="C21" s="26"/>
      <c r="D21" s="27"/>
    </row>
    <row r="22">
      <c r="A22" s="31"/>
      <c r="B22" s="32"/>
      <c r="C22" s="32"/>
      <c r="D22" s="33"/>
    </row>
    <row r="23">
      <c r="A23" s="2"/>
      <c r="B23" s="2"/>
      <c r="C23" s="2"/>
      <c r="D23" s="2"/>
    </row>
  </sheetData>
  <mergeCells>
    <mergeCell ref="A1:D1"/>
    <mergeCell ref="A2:D2"/>
    <mergeCell ref="A11:D11"/>
    <mergeCell ref="A21:D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3" hidden="0" customWidth="1"/>
    <col min="2" max="2" width="12" hidden="0" customWidth="1"/>
    <col min="3" max="3" width="15" hidden="0" customWidth="1"/>
    <col min="4" max="4" width="16" hidden="0" customWidth="1"/>
    <col min="5" max="5" width="17" hidden="0" customWidth="1"/>
    <col min="6" max="6" width="14" hidden="0" customWidth="1"/>
    <col min="7" max="7" width="13" hidden="0" customWidth="1"/>
    <col min="8" max="8" width="14" hidden="0" customWidth="1"/>
    <col min="9" max="9" width="16" hidden="0" customWidth="1"/>
    <col min="10" max="10" width="18" hidden="0" customWidth="1"/>
    <col min="11" max="11" width="19" hidden="0" customWidth="1"/>
    <col min="12" max="12" width="18" hidden="0" customWidth="1"/>
  </cols>
  <sheetData>
    <row r="1" ht="36" customHeight="1">
      <c r="A1" s="4" t="str">
        <v>Прогноз товара на 12 месяцев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ht="34" customHeight="1">
      <c r="A2" s="7" t="str">
        <v>Темпы роста берутся из листа «Вводные». Расчет не учитывает сезонность и ограничения склада.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42" customHeight="1">
      <c r="A4" s="38" t="str">
        <v>Месяц</v>
      </c>
      <c r="B4" s="39" t="str">
        <v>Заказы</v>
      </c>
      <c r="C4" s="39" t="str">
        <v>Средний чек</v>
      </c>
      <c r="D4" s="39" t="str">
        <v>Выручка</v>
      </c>
      <c r="E4" s="39" t="str">
        <v>Чистая выручка</v>
      </c>
      <c r="F4" s="39" t="str">
        <v>CM1 / заказ</v>
      </c>
      <c r="G4" s="39" t="str">
        <v>CAC / CPA</v>
      </c>
      <c r="H4" s="39" t="str">
        <v>CM2 / заказ</v>
      </c>
      <c r="I4" s="39" t="str">
        <v>Вклад</v>
      </c>
      <c r="J4" s="39" t="str">
        <v>Постоянные расходы</v>
      </c>
      <c r="K4" s="39" t="str">
        <v>Операционная прибыль</v>
      </c>
      <c r="L4" s="40" t="str">
        <v>Накопленная прибыль</v>
      </c>
    </row>
    <row r="5">
      <c r="A5" s="2" t="str">
        <v>Месяц 1</v>
      </c>
      <c r="B5" s="98" t="n">
        <f>'Вводные'!B15</f>
        <v>300</v>
      </c>
      <c r="C5" s="99" t="n">
        <f>'Вводные'!B6</f>
        <v>5000</v>
      </c>
      <c r="D5" s="99" t="n">
        <f>B5*C5</f>
        <v>1500000</v>
      </c>
      <c r="E5" s="99" t="n">
        <f>D5*(1-'Вводные'!$B$12)</f>
        <v>1425000</v>
      </c>
      <c r="F5" s="99" t="n">
        <f>C5*(1-'Вводные'!$B$12)-'Вводные'!$B$7-(C5*(1-'Вводные'!$B$12)*'Вводные'!$B$8)-(C5*(1-'Вводные'!$B$12)*'Вводные'!$B$11)-'Вводные'!$B$9-'Вводные'!$B$10-'Вводные'!$B$13</f>
        <v>1916.25</v>
      </c>
      <c r="G5" s="99" t="n">
        <f>'Вводные'!$B$14</f>
        <v>900</v>
      </c>
      <c r="H5" s="99" t="n">
        <f>F5-G5</f>
        <v>1016.25</v>
      </c>
      <c r="I5" s="99" t="n">
        <f>H5*B5</f>
        <v>304875</v>
      </c>
      <c r="J5" s="99" t="n">
        <f>'Вводные'!$B$17</f>
        <v>350000</v>
      </c>
      <c r="K5" s="99" t="n">
        <f>I5-J5</f>
        <v>-45125</v>
      </c>
      <c r="L5" s="99" t="n">
        <f>K5</f>
        <v>-45125</v>
      </c>
    </row>
    <row r="6">
      <c r="A6" s="2" t="str">
        <v>Месяц 2</v>
      </c>
      <c r="B6" s="98" t="n">
        <f>B5*(1+'Вводные'!$B$18)</f>
        <v>315</v>
      </c>
      <c r="C6" s="99" t="n">
        <f>C5*(1+'Вводные'!$B$19)</f>
        <v>5000</v>
      </c>
      <c r="D6" s="99" t="n">
        <f>B6*C6</f>
        <v>1575000</v>
      </c>
      <c r="E6" s="99" t="n">
        <f>D6*(1-'Вводные'!$B$12)</f>
        <v>1496250</v>
      </c>
      <c r="F6" s="99" t="n">
        <f>C6*(1-'Вводные'!$B$12)-'Вводные'!$B$7-(C6*(1-'Вводные'!$B$12)*'Вводные'!$B$8)-(C6*(1-'Вводные'!$B$12)*'Вводные'!$B$11)-'Вводные'!$B$9-'Вводные'!$B$10-'Вводные'!$B$13</f>
        <v>1916.25</v>
      </c>
      <c r="G6" s="99" t="n">
        <f>'Вводные'!$B$14</f>
        <v>900</v>
      </c>
      <c r="H6" s="99" t="n">
        <f>F6-G6</f>
        <v>1016.25</v>
      </c>
      <c r="I6" s="99" t="n">
        <f>H6*B6</f>
        <v>320118.75</v>
      </c>
      <c r="J6" s="99" t="n">
        <f>'Вводные'!$B$17</f>
        <v>350000</v>
      </c>
      <c r="K6" s="99" t="n">
        <f>I6-J6</f>
        <v>-29881.25</v>
      </c>
      <c r="L6" s="99" t="n">
        <f>L5+K6</f>
        <v>-75006.25</v>
      </c>
    </row>
    <row r="7">
      <c r="A7" s="2" t="str">
        <v>Месяц 3</v>
      </c>
      <c r="B7" s="98" t="n">
        <f>B6*(1+'Вводные'!$B$18)</f>
        <v>330.75</v>
      </c>
      <c r="C7" s="99" t="n">
        <f>C6*(1+'Вводные'!$B$19)</f>
        <v>5000</v>
      </c>
      <c r="D7" s="99" t="n">
        <f>B7*C7</f>
        <v>1653750</v>
      </c>
      <c r="E7" s="99" t="n">
        <f>D7*(1-'Вводные'!$B$12)</f>
        <v>1571062.5</v>
      </c>
      <c r="F7" s="99" t="n">
        <f>C7*(1-'Вводные'!$B$12)-'Вводные'!$B$7-(C7*(1-'Вводные'!$B$12)*'Вводные'!$B$8)-(C7*(1-'Вводные'!$B$12)*'Вводные'!$B$11)-'Вводные'!$B$9-'Вводные'!$B$10-'Вводные'!$B$13</f>
        <v>1916.25</v>
      </c>
      <c r="G7" s="99" t="n">
        <f>'Вводные'!$B$14</f>
        <v>900</v>
      </c>
      <c r="H7" s="99" t="n">
        <f>F7-G7</f>
        <v>1016.25</v>
      </c>
      <c r="I7" s="99" t="n">
        <f>H7*B7</f>
        <v>336124.6875</v>
      </c>
      <c r="J7" s="99" t="n">
        <f>'Вводные'!$B$17</f>
        <v>350000</v>
      </c>
      <c r="K7" s="99" t="n">
        <f>I7-J7</f>
        <v>-13875.3125</v>
      </c>
      <c r="L7" s="99" t="n">
        <f>L6+K7</f>
        <v>-88881.5625</v>
      </c>
    </row>
    <row r="8">
      <c r="A8" s="2" t="str">
        <v>Месяц 4</v>
      </c>
      <c r="B8" s="98" t="n">
        <f>B7*(1+'Вводные'!$B$18)</f>
        <v>347.2875</v>
      </c>
      <c r="C8" s="99" t="n">
        <f>C7*(1+'Вводные'!$B$19)</f>
        <v>5000</v>
      </c>
      <c r="D8" s="99" t="n">
        <f>B8*C8</f>
        <v>1736437.5</v>
      </c>
      <c r="E8" s="99" t="n">
        <f>D8*(1-'Вводные'!$B$12)</f>
        <v>1649615.625</v>
      </c>
      <c r="F8" s="99" t="n">
        <f>C8*(1-'Вводные'!$B$12)-'Вводные'!$B$7-(C8*(1-'Вводные'!$B$12)*'Вводные'!$B$8)-(C8*(1-'Вводные'!$B$12)*'Вводные'!$B$11)-'Вводные'!$B$9-'Вводные'!$B$10-'Вводные'!$B$13</f>
        <v>1916.25</v>
      </c>
      <c r="G8" s="99" t="n">
        <f>'Вводные'!$B$14</f>
        <v>900</v>
      </c>
      <c r="H8" s="99" t="n">
        <f>F8-G8</f>
        <v>1016.25</v>
      </c>
      <c r="I8" s="99" t="n">
        <f>H8*B8</f>
        <v>352930.921875</v>
      </c>
      <c r="J8" s="99" t="n">
        <f>'Вводные'!$B$17</f>
        <v>350000</v>
      </c>
      <c r="K8" s="99" t="n">
        <f>I8-J8</f>
        <v>2930.921875</v>
      </c>
      <c r="L8" s="99" t="n">
        <f>L7+K8</f>
        <v>-85950.640625</v>
      </c>
    </row>
    <row r="9">
      <c r="A9" s="2" t="str">
        <v>Месяц 5</v>
      </c>
      <c r="B9" s="98" t="n">
        <f>B8*(1+'Вводные'!$B$18)</f>
        <v>364.651875</v>
      </c>
      <c r="C9" s="99" t="n">
        <f>C8*(1+'Вводные'!$B$19)</f>
        <v>5000</v>
      </c>
      <c r="D9" s="99" t="n">
        <f>B9*C9</f>
        <v>1823259.375</v>
      </c>
      <c r="E9" s="99" t="n">
        <f>D9*(1-'Вводные'!$B$12)</f>
        <v>1732096.40625</v>
      </c>
      <c r="F9" s="99" t="n">
        <f>C9*(1-'Вводные'!$B$12)-'Вводные'!$B$7-(C9*(1-'Вводные'!$B$12)*'Вводные'!$B$8)-(C9*(1-'Вводные'!$B$12)*'Вводные'!$B$11)-'Вводные'!$B$9-'Вводные'!$B$10-'Вводные'!$B$13</f>
        <v>1916.25</v>
      </c>
      <c r="G9" s="99" t="n">
        <f>'Вводные'!$B$14</f>
        <v>900</v>
      </c>
      <c r="H9" s="99" t="n">
        <f>F9-G9</f>
        <v>1016.25</v>
      </c>
      <c r="I9" s="99" t="n">
        <f>H9*B9</f>
        <v>370577.46796875005</v>
      </c>
      <c r="J9" s="99" t="n">
        <f>'Вводные'!$B$17</f>
        <v>350000</v>
      </c>
      <c r="K9" s="99" t="n">
        <f>I9-J9</f>
        <v>20577.467968750047</v>
      </c>
      <c r="L9" s="99" t="n">
        <f>L8+K9</f>
        <v>-65373.17265624995</v>
      </c>
    </row>
    <row r="10">
      <c r="A10" s="2" t="str">
        <v>Месяц 6</v>
      </c>
      <c r="B10" s="98" t="n">
        <f>B9*(1+'Вводные'!$B$18)</f>
        <v>382.88446875000005</v>
      </c>
      <c r="C10" s="99" t="n">
        <f>C9*(1+'Вводные'!$B$19)</f>
        <v>5000</v>
      </c>
      <c r="D10" s="99" t="n">
        <f>B10*C10</f>
        <v>1914422.3437500002</v>
      </c>
      <c r="E10" s="99" t="n">
        <f>D10*(1-'Вводные'!$B$12)</f>
        <v>1818701.2265625002</v>
      </c>
      <c r="F10" s="99" t="n">
        <f>C10*(1-'Вводные'!$B$12)-'Вводные'!$B$7-(C10*(1-'Вводные'!$B$12)*'Вводные'!$B$8)-(C10*(1-'Вводные'!$B$12)*'Вводные'!$B$11)-'Вводные'!$B$9-'Вводные'!$B$10-'Вводные'!$B$13</f>
        <v>1916.25</v>
      </c>
      <c r="G10" s="99" t="n">
        <f>'Вводные'!$B$14</f>
        <v>900</v>
      </c>
      <c r="H10" s="99" t="n">
        <f>F10-G10</f>
        <v>1016.25</v>
      </c>
      <c r="I10" s="99" t="n">
        <f>H10*B10</f>
        <v>389106.34136718756</v>
      </c>
      <c r="J10" s="99" t="n">
        <f>'Вводные'!$B$17</f>
        <v>350000</v>
      </c>
      <c r="K10" s="99" t="n">
        <f>I10-J10</f>
        <v>39106.34136718756</v>
      </c>
      <c r="L10" s="99" t="n">
        <f>L9+K10</f>
        <v>-26266.831289062393</v>
      </c>
    </row>
    <row r="11">
      <c r="A11" s="2" t="str">
        <v>Месяц 7</v>
      </c>
      <c r="B11" s="98" t="n">
        <f>B10*(1+'Вводные'!$B$18)</f>
        <v>402.0286921875001</v>
      </c>
      <c r="C11" s="99" t="n">
        <f>C10*(1+'Вводные'!$B$19)</f>
        <v>5000</v>
      </c>
      <c r="D11" s="99" t="n">
        <f>B11*C11</f>
        <v>2010143.4609375005</v>
      </c>
      <c r="E11" s="99" t="n">
        <f>D11*(1-'Вводные'!$B$12)</f>
        <v>1909636.2878906254</v>
      </c>
      <c r="F11" s="99" t="n">
        <f>C11*(1-'Вводные'!$B$12)-'Вводные'!$B$7-(C11*(1-'Вводные'!$B$12)*'Вводные'!$B$8)-(C11*(1-'Вводные'!$B$12)*'Вводные'!$B$11)-'Вводные'!$B$9-'Вводные'!$B$10-'Вводные'!$B$13</f>
        <v>1916.25</v>
      </c>
      <c r="G11" s="99" t="n">
        <f>'Вводные'!$B$14</f>
        <v>900</v>
      </c>
      <c r="H11" s="99" t="n">
        <f>F11-G11</f>
        <v>1016.25</v>
      </c>
      <c r="I11" s="99" t="n">
        <f>H11*B11</f>
        <v>408561.65843554697</v>
      </c>
      <c r="J11" s="99" t="n">
        <f>'Вводные'!$B$17</f>
        <v>350000</v>
      </c>
      <c r="K11" s="99" t="n">
        <f>I11-J11</f>
        <v>58561.65843554697</v>
      </c>
      <c r="L11" s="99" t="n">
        <f>L10+K11</f>
        <v>32294.827146484575</v>
      </c>
    </row>
    <row r="12">
      <c r="A12" s="2" t="str">
        <v>Месяц 8</v>
      </c>
      <c r="B12" s="98" t="n">
        <f>B11*(1+'Вводные'!$B$18)</f>
        <v>422.1301267968751</v>
      </c>
      <c r="C12" s="99" t="n">
        <f>C11*(1+'Вводные'!$B$19)</f>
        <v>5000</v>
      </c>
      <c r="D12" s="99" t="n">
        <f>B12*C12</f>
        <v>2110650.6339843757</v>
      </c>
      <c r="E12" s="99" t="n">
        <f>D12*(1-'Вводные'!$B$12)</f>
        <v>2005118.102285157</v>
      </c>
      <c r="F12" s="99" t="n">
        <f>C12*(1-'Вводные'!$B$12)-'Вводные'!$B$7-(C12*(1-'Вводные'!$B$12)*'Вводные'!$B$8)-(C12*(1-'Вводные'!$B$12)*'Вводные'!$B$11)-'Вводные'!$B$9-'Вводные'!$B$10-'Вводные'!$B$13</f>
        <v>1916.25</v>
      </c>
      <c r="G12" s="99" t="n">
        <f>'Вводные'!$B$14</f>
        <v>900</v>
      </c>
      <c r="H12" s="99" t="n">
        <f>F12-G12</f>
        <v>1016.25</v>
      </c>
      <c r="I12" s="99" t="n">
        <f>H12*B12</f>
        <v>428989.74135732435</v>
      </c>
      <c r="J12" s="99" t="n">
        <f>'Вводные'!$B$17</f>
        <v>350000</v>
      </c>
      <c r="K12" s="99" t="n">
        <f>I12-J12</f>
        <v>78989.74135732435</v>
      </c>
      <c r="L12" s="99" t="n">
        <f>L11+K12</f>
        <v>111284.56850380893</v>
      </c>
    </row>
    <row r="13">
      <c r="A13" s="2" t="str">
        <v>Месяц 9</v>
      </c>
      <c r="B13" s="98" t="n">
        <f>B12*(1+'Вводные'!$B$18)</f>
        <v>443.23663313671886</v>
      </c>
      <c r="C13" s="99" t="n">
        <f>C12*(1+'Вводные'!$B$19)</f>
        <v>5000</v>
      </c>
      <c r="D13" s="99" t="n">
        <f>B13*C13</f>
        <v>2216183.1656835945</v>
      </c>
      <c r="E13" s="99" t="n">
        <f>D13*(1-'Вводные'!$B$12)</f>
        <v>2105374.0073994147</v>
      </c>
      <c r="F13" s="99" t="n">
        <f>C13*(1-'Вводные'!$B$12)-'Вводные'!$B$7-(C13*(1-'Вводные'!$B$12)*'Вводные'!$B$8)-(C13*(1-'Вводные'!$B$12)*'Вводные'!$B$11)-'Вводные'!$B$9-'Вводные'!$B$10-'Вводные'!$B$13</f>
        <v>1916.25</v>
      </c>
      <c r="G13" s="99" t="n">
        <f>'Вводные'!$B$14</f>
        <v>900</v>
      </c>
      <c r="H13" s="99" t="n">
        <f>F13-G13</f>
        <v>1016.25</v>
      </c>
      <c r="I13" s="99" t="n">
        <f>H13*B13</f>
        <v>450439.22842519055</v>
      </c>
      <c r="J13" s="99" t="n">
        <f>'Вводные'!$B$17</f>
        <v>350000</v>
      </c>
      <c r="K13" s="99" t="n">
        <f>I13-J13</f>
        <v>100439.22842519055</v>
      </c>
      <c r="L13" s="99" t="n">
        <f>L12+K13</f>
        <v>211723.79692899948</v>
      </c>
    </row>
    <row r="14">
      <c r="A14" s="2" t="str">
        <v>Месяц 10</v>
      </c>
      <c r="B14" s="98" t="n">
        <f>B13*(1+'Вводные'!$B$18)</f>
        <v>465.3984647935548</v>
      </c>
      <c r="C14" s="99" t="n">
        <f>C13*(1+'Вводные'!$B$19)</f>
        <v>5000</v>
      </c>
      <c r="D14" s="99" t="n">
        <f>B14*C14</f>
        <v>2326992.323967774</v>
      </c>
      <c r="E14" s="99" t="n">
        <f>D14*(1-'Вводные'!$B$12)</f>
        <v>2210642.707769385</v>
      </c>
      <c r="F14" s="99" t="n">
        <f>C14*(1-'Вводные'!$B$12)-'Вводные'!$B$7-(C14*(1-'Вводные'!$B$12)*'Вводные'!$B$8)-(C14*(1-'Вводные'!$B$12)*'Вводные'!$B$11)-'Вводные'!$B$9-'Вводные'!$B$10-'Вводные'!$B$13</f>
        <v>1916.25</v>
      </c>
      <c r="G14" s="99" t="n">
        <f>'Вводные'!$B$14</f>
        <v>900</v>
      </c>
      <c r="H14" s="99" t="n">
        <f>F14-G14</f>
        <v>1016.25</v>
      </c>
      <c r="I14" s="99" t="n">
        <f>H14*B14</f>
        <v>472961.18984645006</v>
      </c>
      <c r="J14" s="99" t="n">
        <f>'Вводные'!$B$17</f>
        <v>350000</v>
      </c>
      <c r="K14" s="99" t="n">
        <f>I14-J14</f>
        <v>122961.18984645006</v>
      </c>
      <c r="L14" s="99" t="n">
        <f>L13+K14</f>
        <v>334684.98677544954</v>
      </c>
    </row>
    <row r="15">
      <c r="A15" s="2" t="str">
        <v>Месяц 11</v>
      </c>
      <c r="B15" s="98" t="n">
        <f>B14*(1+'Вводные'!$B$18)</f>
        <v>488.6683880332326</v>
      </c>
      <c r="C15" s="99" t="n">
        <f>C14*(1+'Вводные'!$B$19)</f>
        <v>5000</v>
      </c>
      <c r="D15" s="99" t="n">
        <f>B15*C15</f>
        <v>2443341.940166163</v>
      </c>
      <c r="E15" s="99" t="n">
        <f>D15*(1-'Вводные'!$B$12)</f>
        <v>2321174.8431578544</v>
      </c>
      <c r="F15" s="99" t="n">
        <f>C15*(1-'Вводные'!$B$12)-'Вводные'!$B$7-(C15*(1-'Вводные'!$B$12)*'Вводные'!$B$8)-(C15*(1-'Вводные'!$B$12)*'Вводные'!$B$11)-'Вводные'!$B$9-'Вводные'!$B$10-'Вводные'!$B$13</f>
        <v>1916.25</v>
      </c>
      <c r="G15" s="99" t="n">
        <f>'Вводные'!$B$14</f>
        <v>900</v>
      </c>
      <c r="H15" s="99" t="n">
        <f>F15-G15</f>
        <v>1016.25</v>
      </c>
      <c r="I15" s="99" t="n">
        <f>H15*B15</f>
        <v>496609.2493387726</v>
      </c>
      <c r="J15" s="99" t="n">
        <f>'Вводные'!$B$17</f>
        <v>350000</v>
      </c>
      <c r="K15" s="99" t="n">
        <f>I15-J15</f>
        <v>146609.2493387726</v>
      </c>
      <c r="L15" s="99" t="n">
        <f>L14+K15</f>
        <v>481294.23611422215</v>
      </c>
    </row>
    <row r="16">
      <c r="A16" s="11" t="str">
        <v>Месяц 12</v>
      </c>
      <c r="B16" s="117" t="n">
        <f>B15*(1+'Вводные'!$B$18)</f>
        <v>513.1018074348942</v>
      </c>
      <c r="C16" s="118" t="n">
        <f>C15*(1+'Вводные'!$B$19)</f>
        <v>5000</v>
      </c>
      <c r="D16" s="118" t="n">
        <f>B16*C16</f>
        <v>2565509.037174471</v>
      </c>
      <c r="E16" s="118" t="n">
        <f>D16*(1-'Вводные'!$B$12)</f>
        <v>2437233.5853157477</v>
      </c>
      <c r="F16" s="118" t="n">
        <f>C16*(1-'Вводные'!$B$12)-'Вводные'!$B$7-(C16*(1-'Вводные'!$B$12)*'Вводные'!$B$8)-(C16*(1-'Вводные'!$B$12)*'Вводные'!$B$11)-'Вводные'!$B$9-'Вводные'!$B$10-'Вводные'!$B$13</f>
        <v>1916.25</v>
      </c>
      <c r="G16" s="118" t="n">
        <f>'Вводные'!$B$14</f>
        <v>900</v>
      </c>
      <c r="H16" s="118" t="n">
        <f>F16-G16</f>
        <v>1016.25</v>
      </c>
      <c r="I16" s="118" t="n">
        <f>H16*B16</f>
        <v>521439.71180571127</v>
      </c>
      <c r="J16" s="118" t="n">
        <f>'Вводные'!$B$17</f>
        <v>350000</v>
      </c>
      <c r="K16" s="118" t="n">
        <f>I16-J16</f>
        <v>171439.71180571127</v>
      </c>
      <c r="L16" s="118" t="n">
        <f>L15+K16</f>
        <v>652733.9479199334</v>
      </c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>
      <c r="A18" s="25" t="str">
        <v>Прогноз механически продолжает заданные темпы. Для рабочего бюджета добавьте сезонность, ограничения производства, кассовые разрывы и налоговую модель компании.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7"/>
    </row>
    <row r="19">
      <c r="A19" s="31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3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</sheetData>
  <mergeCells>
    <mergeCell ref="A1:L1"/>
    <mergeCell ref="A2:L2"/>
    <mergeCell ref="A18:L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4" hidden="0" customWidth="1"/>
    <col min="2" max="2" width="32" hidden="0" customWidth="1"/>
    <col min="3" max="3" width="40" hidden="0" customWidth="1"/>
    <col min="4" max="4" width="44" hidden="0" customWidth="1"/>
  </cols>
  <sheetData>
    <row r="1" ht="36" customHeight="1">
      <c r="A1" s="4" t="str">
        <v>Справка по метрикам</v>
      </c>
      <c r="B1" s="4"/>
      <c r="C1" s="4"/>
      <c r="D1" s="4"/>
    </row>
    <row r="2" ht="34" customHeight="1">
      <c r="A2" s="7" t="str">
        <v>Короткие определения для проверки логики модели</v>
      </c>
      <c r="B2" s="7"/>
      <c r="C2" s="7"/>
      <c r="D2" s="7"/>
    </row>
    <row r="3">
      <c r="A3" s="2"/>
      <c r="B3" s="2"/>
      <c r="C3" s="2"/>
      <c r="D3" s="2"/>
    </row>
    <row r="4">
      <c r="A4" s="38" t="str">
        <v>Метрика</v>
      </c>
      <c r="B4" s="39" t="str">
        <v>Формула</v>
      </c>
      <c r="C4" s="39" t="str">
        <v>Что показывает</v>
      </c>
      <c r="D4" s="40" t="str">
        <v>Ограничение</v>
      </c>
    </row>
    <row r="5" ht="42" customHeight="1">
      <c r="A5" s="2" t="str">
        <v>CM1</v>
      </c>
      <c r="B5" s="119" t="str">
        <v>Чистая выручка - себестоимость - переменные расходы</v>
      </c>
      <c r="C5" s="119" t="str">
        <v>Сколько остается до рекламы</v>
      </c>
      <c r="D5" s="119" t="str">
        <v>Не включает CAC и постоянные расходы</v>
      </c>
    </row>
    <row r="6" ht="42" customHeight="1">
      <c r="A6" s="2" t="str">
        <v>CM2</v>
      </c>
      <c r="B6" s="119" t="str">
        <v>CM1 - CAC / CPA</v>
      </c>
      <c r="C6" s="119" t="str">
        <v>Прибыль заказа после привлечения</v>
      </c>
      <c r="D6" s="119" t="str">
        <v>Положительная CM2 не гарантирует прибыль компании</v>
      </c>
    </row>
    <row r="7" ht="42" customHeight="1">
      <c r="A7" s="2" t="str">
        <v>Максимальный CAC</v>
      </c>
      <c r="B7" s="119" t="str">
        <v>CM1</v>
      </c>
      <c r="C7" s="119" t="str">
        <v>Верхняя граница привлечения</v>
      </c>
      <c r="D7" s="119" t="str">
        <v>На границе нет денег на постоянные расходы</v>
      </c>
    </row>
    <row r="8" ht="42" customHeight="1">
      <c r="A8" s="2" t="str">
        <v>ROAS безубыточности</v>
      </c>
      <c r="B8" s="119" t="str">
        <v>1 / CM1%</v>
      </c>
      <c r="C8" s="119" t="str">
        <v>Минимальный ROAS до постоянных расходов</v>
      </c>
      <c r="D8" s="119" t="str">
        <v>Зависит от полноты переменных расходов</v>
      </c>
    </row>
    <row r="9" ht="42" customHeight="1">
      <c r="A9" s="2" t="str">
        <v>Profit-LTV</v>
      </c>
      <c r="B9" s="119" t="str">
        <v>CM1 × заказов на клиента</v>
      </c>
      <c r="C9" s="119" t="str">
        <v>Валовая прибыль клиента до привлечения</v>
      </c>
      <c r="D9" s="119" t="str">
        <v>Нужны когортные данные о повторных заказах</v>
      </c>
    </row>
    <row r="10" ht="42" customHeight="1">
      <c r="A10" s="2" t="str">
        <v>LTV / CAC</v>
      </c>
      <c r="B10" s="119" t="str">
        <v>Profit-LTV / CAC</v>
      </c>
      <c r="C10" s="119" t="str">
        <v>Запас прибыли относительно привлечения</v>
      </c>
      <c r="D10" s="119" t="str">
        <v>3:1 - ориентир, а не универсальная норма</v>
      </c>
    </row>
    <row r="11" ht="42" customHeight="1">
      <c r="A11" s="2" t="str">
        <v>Окупаемость</v>
      </c>
      <c r="B11" s="119" t="str">
        <v>CAC / CM1</v>
      </c>
      <c r="C11" s="119" t="str">
        <v>Сколько заказов нужно для возврата CAC</v>
      </c>
      <c r="D11" s="119" t="str">
        <v>Дробное значение означает часть следующего заказа</v>
      </c>
    </row>
    <row r="12" ht="42" customHeight="1">
      <c r="A12" s="2" t="str">
        <v>Операционная прибыль</v>
      </c>
      <c r="B12" s="119" t="str">
        <v>CM2 × заказы - постоянные расходы</v>
      </c>
      <c r="C12" s="119" t="str">
        <v>Результат текущего объема</v>
      </c>
      <c r="D12" s="119" t="str">
        <v>Не равно денежному потоку</v>
      </c>
    </row>
    <row r="13" ht="42" customHeight="1">
      <c r="A13" s="11" t="str">
        <v>Чистая выручка</v>
      </c>
      <c r="B13" s="14" t="str">
        <v>Средний чек × (1 - потери)</v>
      </c>
      <c r="C13" s="14" t="str">
        <v>Выручка после возвратов и брака</v>
      </c>
      <c r="D13" s="14" t="str">
        <v>Модель использует единый процент потерь</v>
      </c>
    </row>
    <row r="14">
      <c r="A14" s="2"/>
      <c r="B14" s="2"/>
      <c r="C14" s="2"/>
      <c r="D14" s="2"/>
    </row>
    <row r="15">
      <c r="A15" s="25" t="str">
        <v>Методология собрана по внутреннему альманаху unit-economics-facts.md. В исходнике встречаются повторяющиеся формулировки и отраслевые бенчмарки, поэтому в шаблон перенесены только формулы и оговорки, которые не зависят от конкретного рынка.</v>
      </c>
      <c r="B15" s="26"/>
      <c r="C15" s="26"/>
      <c r="D15" s="27"/>
    </row>
    <row r="16">
      <c r="A16" s="28"/>
      <c r="B16" s="29"/>
      <c r="C16" s="29"/>
      <c r="D16" s="30"/>
    </row>
    <row r="17">
      <c r="A17" s="28"/>
      <c r="B17" s="29"/>
      <c r="C17" s="29"/>
      <c r="D17" s="30"/>
    </row>
    <row r="18">
      <c r="A18" s="31"/>
      <c r="B18" s="32"/>
      <c r="C18" s="32"/>
      <c r="D18" s="33"/>
    </row>
    <row r="19">
      <c r="A19" s="2"/>
      <c r="B19" s="2"/>
      <c r="C19" s="2"/>
      <c r="D19" s="2"/>
    </row>
    <row r="20">
      <c r="A20" s="2"/>
      <c r="B20" s="2"/>
      <c r="C20" s="2"/>
      <c r="D20" s="2"/>
    </row>
    <row r="21">
      <c r="A21" s="2"/>
      <c r="B21" s="2"/>
      <c r="C21" s="2"/>
      <c r="D21" s="2"/>
    </row>
    <row r="22">
      <c r="A22" s="2"/>
      <c r="B22" s="2"/>
      <c r="C22" s="2"/>
      <c r="D22" s="2"/>
    </row>
  </sheetData>
  <mergeCells>
    <mergeCell ref="A1:D1"/>
    <mergeCell ref="A2:D2"/>
    <mergeCell ref="A15:D18"/>
  </mergeCells>
  <pageMargins left="0.7" right="0.7" top="0.75" bottom="0.75" header="0.3" footer="0.3"/>
</worksheet>
</file>