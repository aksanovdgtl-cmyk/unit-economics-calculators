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eded7caaa3499f" /></Relationships>
</file>

<file path=xl/workbook.xml><?xml version="1.0" encoding="utf-8"?>
<workbook xmlns="http://schemas.openxmlformats.org/spreadsheetml/2006/main">
  <sheets>
    <sheet xmlns:r="http://schemas.openxmlformats.org/officeDocument/2006/relationships" name="Инструкция" sheetId="1" r:id="R7416c8587e554298"/>
    <sheet xmlns:r="http://schemas.openxmlformats.org/officeDocument/2006/relationships" name="Вводные" sheetId="2" r:id="Redba20def6224dce"/>
    <sheet xmlns:r="http://schemas.openxmlformats.org/officeDocument/2006/relationships" name="Юнит-экономика" sheetId="3" r:id="R32f6250b49cf42bb"/>
    <sheet xmlns:r="http://schemas.openxmlformats.org/officeDocument/2006/relationships" name="Сценарии" sheetId="4" r:id="R3ab22672e4084972"/>
    <sheet xmlns:r="http://schemas.openxmlformats.org/officeDocument/2006/relationships" name="Помесячный прогноз" sheetId="5" r:id="R1532e921eb474857"/>
    <sheet xmlns:r="http://schemas.openxmlformats.org/officeDocument/2006/relationships" name="Справка" sheetId="6" r:id="R9098ca03c18044ad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5">
    <numFmt numFmtId="200" formatCode="#,##0.00"/>
    <numFmt numFmtId="201" formatCode="0.0%"/>
    <numFmt numFmtId="202" formatCode="0.00x"/>
    <numFmt numFmtId="203" formatCode="0.0"/>
    <numFmt numFmtId="204" formatCode="#,##0"/>
  </numFmts>
  <fonts count="7">
    <font>
      <sz val="11"/>
      <name val="Carlito"/>
    </font>
    <font>
      <sz val="11"/>
      <color rgb="FF202124"/>
      <name val="Aptos"/>
    </font>
    <font>
      <b/>
      <sz val="20"/>
      <color rgb="FFFFFFFF"/>
      <name val="Aptos Display"/>
    </font>
    <font>
      <sz val="10"/>
      <color rgb="FF60646C"/>
      <name val="Aptos"/>
    </font>
    <font>
      <b/>
      <sz val="11"/>
      <color rgb="FF0845EF"/>
      <name val="Aptos"/>
    </font>
    <font>
      <b/>
      <sz val="11"/>
      <color rgb="FF202124"/>
      <name val="Aptos"/>
    </font>
    <font>
      <b/>
      <sz val="10"/>
      <color rgb="FFFFFFFF"/>
      <name val="Aptos"/>
    </font>
  </fonts>
  <fills count="7">
    <fill>
      <patternFill patternType="none"/>
    </fill>
    <fill>
      <patternFill patternType="gray125"/>
    </fill>
    <fill>
      <patternFill patternType="solid">
        <fgColor rgb="FF0845EF"/>
      </patternFill>
    </fill>
    <fill>
      <patternFill patternType="solid">
        <fgColor rgb="FFFCFCFC"/>
      </patternFill>
    </fill>
    <fill>
      <patternFill patternType="solid">
        <fgColor rgb="FFF4F6F8"/>
      </patternFill>
    </fill>
    <fill>
      <patternFill patternType="solid">
        <fgColor rgb="FFFFF3C4"/>
      </patternFill>
    </fill>
    <fill>
      <patternFill patternType="solid">
        <fgColor rgb="FFEAF0FF"/>
      </patternFill>
    </fill>
  </fills>
  <borders count="39">
    <border/>
    <border>
      <bottom style="medium">
        <color rgb="FF0845EF"/>
      </bottom>
    </border>
    <border>
      <bottom style="thin">
        <color rgb="FFDDE2E8"/>
      </bottom>
    </border>
    <border>
      <left style="thin">
        <color rgb="FFDDE2E8"/>
      </left>
      <top style="thin">
        <color rgb="FFDDE2E8"/>
      </top>
    </border>
    <border>
      <top style="thin">
        <color rgb="FFDDE2E8"/>
      </top>
    </border>
    <border>
      <right style="thin">
        <color rgb="FFDDE2E8"/>
      </right>
      <top style="thin">
        <color rgb="FFDDE2E8"/>
      </top>
    </border>
    <border>
      <left style="thin">
        <color rgb="FFDDE2E8"/>
      </left>
    </border>
    <border>
      <right style="thin">
        <color rgb="FFDDE2E8"/>
      </right>
    </border>
    <border>
      <left style="thin">
        <color rgb="FFDDE2E8"/>
      </left>
      <bottom style="thin">
        <color rgb="FFDDE2E8"/>
      </bottom>
    </border>
    <border>
      <right style="thin">
        <color rgb="FFDDE2E8"/>
      </right>
      <bottom style="thin">
        <color rgb="FFDDE2E8"/>
      </bottom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  <border>
      <left style="thin">
        <color rgb="FFD6B84B"/>
      </left>
      <right style="thin">
        <color rgb="FFD6B84B"/>
      </right>
      <top style="thin">
        <color rgb="FFD6B84B"/>
      </top>
    </border>
    <border>
      <left style="thin">
        <color rgb="FFD6B84B"/>
      </left>
      <right style="thin">
        <color rgb="FFD6B84B"/>
      </right>
    </border>
    <border>
      <left style="thin">
        <color rgb="FFD6B84B"/>
      </left>
      <right style="thin">
        <color rgb="FFD6B84B"/>
      </right>
      <bottom style="thin">
        <color rgb="FFD6B84B"/>
      </bottom>
    </border>
    <border>
      <left style="thin">
        <color rgb="FFD6B84B"/>
      </left>
      <right style="thin">
        <color rgb="FFD6B84B"/>
      </right>
      <bottom style="thin">
        <color rgb="FFDDE2E8"/>
      </bottom>
    </border>
    <border>
      <left style="thin">
        <color rgb="FF9CB2FF"/>
      </left>
      <right style="thin">
        <color rgb="FF9CB2FF"/>
      </right>
      <top style="thin">
        <color rgb="FF9CB2FF"/>
      </top>
    </border>
    <border>
      <left style="thin">
        <color rgb="FF9CB2FF"/>
      </left>
      <right style="thin">
        <color rgb="FF9CB2FF"/>
      </right>
    </border>
    <border>
      <left style="thin">
        <color rgb="FF9CB2FF"/>
      </left>
      <right style="thin">
        <color rgb="FF9CB2FF"/>
      </right>
      <bottom style="thin">
        <color rgb="FF9CB2FF"/>
      </bottom>
    </border>
    <border>
      <left style="thin">
        <color rgb="FF9CB2FF"/>
      </left>
      <right style="thin">
        <color rgb="FF9CB2FF"/>
      </right>
      <bottom style="thin">
        <color rgb="FFDDE2E8"/>
      </bottom>
    </border>
    <border>
      <left style="thin">
        <color rgb="FFD6B84B"/>
      </left>
      <top style="thin">
        <color rgb="FFD6B84B"/>
      </top>
    </border>
    <border>
      <top style="thin">
        <color rgb="FFD6B84B"/>
      </top>
    </border>
    <border>
      <right style="thin">
        <color rgb="FFD6B84B"/>
      </right>
      <top style="thin">
        <color rgb="FFD6B84B"/>
      </top>
    </border>
    <border>
      <left style="thin">
        <color rgb="FFD6B84B"/>
      </left>
    </border>
    <border>
      <right style="thin">
        <color rgb="FFD6B84B"/>
      </right>
    </border>
    <border>
      <left style="thin">
        <color rgb="FFD6B84B"/>
      </left>
      <bottom style="thin">
        <color rgb="FFD6B84B"/>
      </bottom>
    </border>
    <border>
      <bottom style="thin">
        <color rgb="FFD6B84B"/>
      </bottom>
    </border>
    <border>
      <right style="thin">
        <color rgb="FFD6B84B"/>
      </right>
      <bottom style="thin">
        <color rgb="FFD6B84B"/>
      </bottom>
    </border>
    <border>
      <left style="thin">
        <color rgb="FF9CB2FF"/>
      </left>
      <top style="thin">
        <color rgb="FF9CB2FF"/>
      </top>
    </border>
    <border>
      <top style="thin">
        <color rgb="FF9CB2FF"/>
      </top>
    </border>
    <border>
      <right style="thin">
        <color rgb="FF9CB2FF"/>
      </right>
      <top style="thin">
        <color rgb="FF9CB2FF"/>
      </top>
    </border>
    <border>
      <left style="thin">
        <color rgb="FF9CB2FF"/>
      </left>
    </border>
    <border>
      <right style="thin">
        <color rgb="FF9CB2FF"/>
      </right>
    </border>
    <border>
      <left style="thin">
        <color rgb="FF9CB2FF"/>
      </left>
      <bottom style="thin">
        <color rgb="FF9CB2FF"/>
      </bottom>
    </border>
    <border>
      <bottom style="thin">
        <color rgb="FF9CB2FF"/>
      </bottom>
    </border>
    <border>
      <right style="thin">
        <color rgb="FF9CB2FF"/>
      </right>
      <bottom style="thin">
        <color rgb="FF9CB2FF"/>
      </bottom>
    </border>
    <border>
      <left style="thin">
        <color rgb="FFD6B84B"/>
      </left>
      <bottom style="thin">
        <color rgb="FFDDE2E8"/>
      </bottom>
    </border>
    <border>
      <left style="thin">
        <color rgb="FF9CB2FF"/>
      </left>
      <bottom style="thin">
        <color rgb="FFDDE2E8"/>
      </bottom>
    </border>
  </borders>
  <cellStyleXfs count="1">
    <xf numFmtId="0" fontId="0" fillId="0" borderId="0"/>
  </cellStyleXfs>
  <cellXfs count="129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1" fillId="3" borderId="0" xfId="0" applyNumberFormat="1" applyFont="1" applyFill="1" applyBorder="1" applyAlignment="1">
      <alignment vertical="center"/>
    </xf>
    <xf numFmtId="0" fontId="3" fillId="3" borderId="0" xfId="0" applyNumberFormat="1" applyFont="1" applyFill="1" applyBorder="1" applyAlignment="1">
      <alignment vertical="center"/>
    </xf>
    <xf numFmtId="0" fontId="3" fillId="3" borderId="0" xfId="0" applyNumberFormat="1" applyFont="1" applyFill="1" applyBorder="1" applyAlignment="1">
      <alignment vertical="center" wrapText="1"/>
    </xf>
    <xf numFmtId="0" fontId="1" fillId="4" borderId="0" xfId="0" applyNumberFormat="1" applyFont="1" applyFill="1" applyBorder="1" applyAlignment="1">
      <alignment vertical="center"/>
    </xf>
    <xf numFmtId="0" fontId="4" fillId="4" borderId="0" xfId="0" applyNumberFormat="1" applyFont="1" applyFill="1" applyBorder="1" applyAlignment="1">
      <alignment vertical="center"/>
    </xf>
    <xf numFmtId="0" fontId="4" fillId="4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vertical="center"/>
    </xf>
    <xf numFmtId="0" fontId="4" fillId="0" borderId="2" xfId="0" applyNumberFormat="1" applyFont="1" applyFill="1" applyBorder="1" applyAlignment="1">
      <alignment vertical="center"/>
    </xf>
    <xf numFmtId="0" fontId="4" fillId="0" borderId="2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vertical="center" wrapText="1"/>
    </xf>
    <xf numFmtId="0" fontId="5" fillId="0" borderId="2" xfId="0" applyNumberFormat="1" applyFont="1" applyFill="1" applyBorder="1" applyAlignment="1">
      <alignment vertical="center"/>
    </xf>
    <xf numFmtId="0" fontId="3" fillId="4" borderId="0" xfId="0" applyNumberFormat="1" applyFont="1" applyFill="1" applyBorder="1" applyAlignment="1">
      <alignment vertical="center"/>
    </xf>
    <xf numFmtId="0" fontId="3" fillId="4" borderId="3" xfId="0" applyNumberFormat="1" applyFont="1" applyFill="1" applyBorder="1" applyAlignment="1">
      <alignment vertical="center"/>
    </xf>
    <xf numFmtId="0" fontId="3" fillId="4" borderId="4" xfId="0" applyNumberFormat="1" applyFont="1" applyFill="1" applyBorder="1" applyAlignment="1">
      <alignment vertical="center"/>
    </xf>
    <xf numFmtId="0" fontId="3" fillId="4" borderId="5" xfId="0" applyNumberFormat="1" applyFont="1" applyFill="1" applyBorder="1" applyAlignment="1">
      <alignment vertical="center"/>
    </xf>
    <xf numFmtId="0" fontId="3" fillId="4" borderId="6" xfId="0" applyNumberFormat="1" applyFont="1" applyFill="1" applyBorder="1" applyAlignment="1">
      <alignment vertical="center"/>
    </xf>
    <xf numFmtId="0" fontId="3" fillId="4" borderId="7" xfId="0" applyNumberFormat="1" applyFont="1" applyFill="1" applyBorder="1" applyAlignment="1">
      <alignment vertical="center"/>
    </xf>
    <xf numFmtId="0" fontId="3" fillId="4" borderId="8" xfId="0" applyNumberFormat="1" applyFont="1" applyFill="1" applyBorder="1" applyAlignment="1">
      <alignment vertical="center"/>
    </xf>
    <xf numFmtId="0" fontId="3" fillId="4" borderId="2" xfId="0" applyNumberFormat="1" applyFont="1" applyFill="1" applyBorder="1" applyAlignment="1">
      <alignment vertical="center"/>
    </xf>
    <xf numFmtId="0" fontId="3" fillId="4" borderId="9" xfId="0" applyNumberFormat="1" applyFont="1" applyFill="1" applyBorder="1" applyAlignment="1">
      <alignment vertical="center"/>
    </xf>
    <xf numFmtId="0" fontId="3" fillId="4" borderId="3" xfId="0" applyNumberFormat="1" applyFont="1" applyFill="1" applyBorder="1" applyAlignment="1">
      <alignment vertical="center" wrapText="1"/>
    </xf>
    <xf numFmtId="0" fontId="3" fillId="4" borderId="4" xfId="0" applyNumberFormat="1" applyFont="1" applyFill="1" applyBorder="1" applyAlignment="1">
      <alignment vertical="center" wrapText="1"/>
    </xf>
    <xf numFmtId="0" fontId="3" fillId="4" borderId="5" xfId="0" applyNumberFormat="1" applyFont="1" applyFill="1" applyBorder="1" applyAlignment="1">
      <alignment vertical="center" wrapText="1"/>
    </xf>
    <xf numFmtId="0" fontId="3" fillId="4" borderId="6" xfId="0" applyNumberFormat="1" applyFont="1" applyFill="1" applyBorder="1" applyAlignment="1">
      <alignment vertical="center" wrapText="1"/>
    </xf>
    <xf numFmtId="0" fontId="3" fillId="4" borderId="0" xfId="0" applyNumberFormat="1" applyFont="1" applyFill="1" applyBorder="1" applyAlignment="1">
      <alignment vertical="center" wrapText="1"/>
    </xf>
    <xf numFmtId="0" fontId="3" fillId="4" borderId="7" xfId="0" applyNumberFormat="1" applyFont="1" applyFill="1" applyBorder="1" applyAlignment="1">
      <alignment vertical="center" wrapText="1"/>
    </xf>
    <xf numFmtId="0" fontId="3" fillId="4" borderId="8" xfId="0" applyNumberFormat="1" applyFont="1" applyFill="1" applyBorder="1" applyAlignment="1">
      <alignment vertical="center" wrapText="1"/>
    </xf>
    <xf numFmtId="0" fontId="3" fillId="4" borderId="2" xfId="0" applyNumberFormat="1" applyFont="1" applyFill="1" applyBorder="1" applyAlignment="1">
      <alignment vertical="center" wrapText="1"/>
    </xf>
    <xf numFmtId="0" fontId="3" fillId="4" borderId="9" xfId="0" applyNumberFormat="1" applyFont="1" applyFill="1" applyBorder="1" applyAlignment="1">
      <alignment vertical="center" wrapText="1"/>
    </xf>
    <xf numFmtId="0" fontId="6" fillId="2" borderId="0" xfId="0" applyNumberFormat="1" applyFont="1" applyFill="1" applyBorder="1" applyAlignment="1">
      <alignment vertical="center"/>
    </xf>
    <xf numFmtId="0" fontId="6" fillId="2" borderId="10" xfId="0" applyNumberFormat="1" applyFont="1" applyFill="1" applyBorder="1" applyAlignment="1">
      <alignment vertical="center"/>
    </xf>
    <xf numFmtId="0" fontId="6" fillId="2" borderId="11" xfId="0" applyNumberFormat="1" applyFont="1" applyFill="1" applyBorder="1" applyAlignment="1">
      <alignment vertical="center"/>
    </xf>
    <xf numFmtId="0" fontId="6" fillId="2" borderId="12" xfId="0" applyNumberFormat="1" applyFont="1" applyFill="1" applyBorder="1" applyAlignment="1">
      <alignment vertical="center"/>
    </xf>
    <xf numFmtId="0" fontId="6" fillId="2" borderId="10" xfId="0" applyNumberFormat="1" applyFont="1" applyFill="1" applyBorder="1" applyAlignment="1">
      <alignment vertical="center" wrapText="1"/>
    </xf>
    <xf numFmtId="0" fontId="6" fillId="2" borderId="11" xfId="0" applyNumberFormat="1" applyFont="1" applyFill="1" applyBorder="1" applyAlignment="1">
      <alignment vertical="center" wrapText="1"/>
    </xf>
    <xf numFmtId="0" fontId="6" fillId="2" borderId="12" xfId="0" applyNumberFormat="1" applyFont="1" applyFill="1" applyBorder="1" applyAlignment="1">
      <alignment vertical="center" wrapText="1"/>
    </xf>
    <xf numFmtId="0" fontId="1" fillId="5" borderId="0" xfId="0" applyNumberFormat="1" applyFont="1" applyFill="1" applyBorder="1" applyAlignment="1">
      <alignment vertical="center"/>
    </xf>
    <xf numFmtId="0" fontId="5" fillId="5" borderId="0" xfId="0" applyNumberFormat="1" applyFont="1" applyFill="1" applyBorder="1" applyAlignment="1">
      <alignment vertical="center"/>
    </xf>
    <xf numFmtId="0" fontId="5" fillId="5" borderId="13" xfId="0" applyNumberFormat="1" applyFont="1" applyFill="1" applyBorder="1" applyAlignment="1">
      <alignment vertical="center"/>
    </xf>
    <xf numFmtId="0" fontId="5" fillId="5" borderId="14" xfId="0" applyNumberFormat="1" applyFont="1" applyFill="1" applyBorder="1" applyAlignment="1">
      <alignment vertical="center"/>
    </xf>
    <xf numFmtId="0" fontId="5" fillId="5" borderId="15" xfId="0" applyNumberFormat="1" applyFont="1" applyFill="1" applyBorder="1" applyAlignment="1">
      <alignment vertical="center"/>
    </xf>
    <xf numFmtId="200" fontId="5" fillId="5" borderId="14" xfId="0" applyNumberFormat="1" applyFont="1" applyFill="1" applyBorder="1" applyAlignment="1">
      <alignment vertical="center"/>
    </xf>
    <xf numFmtId="200" fontId="5" fillId="5" borderId="15" xfId="0" applyNumberFormat="1" applyFont="1" applyFill="1" applyBorder="1" applyAlignment="1">
      <alignment vertical="center"/>
    </xf>
    <xf numFmtId="201" fontId="5" fillId="5" borderId="14" xfId="0" applyNumberFormat="1" applyFont="1" applyFill="1" applyBorder="1" applyAlignment="1">
      <alignment vertical="center"/>
    </xf>
    <xf numFmtId="201" fontId="5" fillId="5" borderId="15" xfId="0" applyNumberFormat="1" applyFont="1" applyFill="1" applyBorder="1" applyAlignment="1">
      <alignment vertical="center"/>
    </xf>
    <xf numFmtId="201" fontId="5" fillId="5" borderId="16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3" fillId="0" borderId="2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 wrapText="1"/>
    </xf>
    <xf numFmtId="0" fontId="3" fillId="0" borderId="2" xfId="0" applyNumberFormat="1" applyFont="1" applyFill="1" applyBorder="1" applyAlignment="1">
      <alignment vertical="center" wrapText="1"/>
    </xf>
    <xf numFmtId="0" fontId="1" fillId="6" borderId="0" xfId="0" applyNumberFormat="1" applyFont="1" applyFill="1" applyBorder="1" applyAlignment="1">
      <alignment vertical="center"/>
    </xf>
    <xf numFmtId="0" fontId="4" fillId="6" borderId="0" xfId="0" applyNumberFormat="1" applyFont="1" applyFill="1" applyBorder="1" applyAlignment="1">
      <alignment vertical="center"/>
    </xf>
    <xf numFmtId="0" fontId="4" fillId="6" borderId="17" xfId="0" applyNumberFormat="1" applyFont="1" applyFill="1" applyBorder="1" applyAlignment="1">
      <alignment vertical="center"/>
    </xf>
    <xf numFmtId="0" fontId="4" fillId="6" borderId="18" xfId="0" applyNumberFormat="1" applyFont="1" applyFill="1" applyBorder="1" applyAlignment="1">
      <alignment vertical="center"/>
    </xf>
    <xf numFmtId="0" fontId="4" fillId="6" borderId="19" xfId="0" applyNumberFormat="1" applyFont="1" applyFill="1" applyBorder="1" applyAlignment="1">
      <alignment vertical="center"/>
    </xf>
    <xf numFmtId="200" fontId="4" fillId="6" borderId="17" xfId="0" applyNumberFormat="1" applyFont="1" applyFill="1" applyBorder="1" applyAlignment="1">
      <alignment vertical="center"/>
    </xf>
    <xf numFmtId="200" fontId="4" fillId="6" borderId="18" xfId="0" applyNumberFormat="1" applyFont="1" applyFill="1" applyBorder="1" applyAlignment="1">
      <alignment vertical="center"/>
    </xf>
    <xf numFmtId="201" fontId="4" fillId="6" borderId="18" xfId="0" applyNumberFormat="1" applyFont="1" applyFill="1" applyBorder="1" applyAlignment="1">
      <alignment vertical="center"/>
    </xf>
    <xf numFmtId="202" fontId="4" fillId="6" borderId="18" xfId="0" applyNumberFormat="1" applyFont="1" applyFill="1" applyBorder="1" applyAlignment="1">
      <alignment vertical="center"/>
    </xf>
    <xf numFmtId="203" fontId="4" fillId="6" borderId="18" xfId="0" applyNumberFormat="1" applyFont="1" applyFill="1" applyBorder="1" applyAlignment="1">
      <alignment vertical="center"/>
    </xf>
    <xf numFmtId="204" fontId="4" fillId="6" borderId="18" xfId="0" applyNumberFormat="1" applyFont="1" applyFill="1" applyBorder="1" applyAlignment="1">
      <alignment vertical="center"/>
    </xf>
    <xf numFmtId="204" fontId="4" fillId="6" borderId="19" xfId="0" applyNumberFormat="1" applyFont="1" applyFill="1" applyBorder="1" applyAlignment="1">
      <alignment vertical="center"/>
    </xf>
    <xf numFmtId="204" fontId="4" fillId="6" borderId="20" xfId="0" applyNumberFormat="1" applyFont="1" applyFill="1" applyBorder="1" applyAlignment="1">
      <alignment vertical="center"/>
    </xf>
    <xf numFmtId="0" fontId="5" fillId="5" borderId="21" xfId="0" applyNumberFormat="1" applyFont="1" applyFill="1" applyBorder="1" applyAlignment="1">
      <alignment vertical="center"/>
    </xf>
    <xf numFmtId="0" fontId="5" fillId="5" borderId="22" xfId="0" applyNumberFormat="1" applyFont="1" applyFill="1" applyBorder="1" applyAlignment="1">
      <alignment vertical="center"/>
    </xf>
    <xf numFmtId="0" fontId="5" fillId="5" borderId="23" xfId="0" applyNumberFormat="1" applyFont="1" applyFill="1" applyBorder="1" applyAlignment="1">
      <alignment vertical="center"/>
    </xf>
    <xf numFmtId="0" fontId="5" fillId="5" borderId="24" xfId="0" applyNumberFormat="1" applyFont="1" applyFill="1" applyBorder="1" applyAlignment="1">
      <alignment vertical="center"/>
    </xf>
    <xf numFmtId="0" fontId="5" fillId="5" borderId="25" xfId="0" applyNumberFormat="1" applyFont="1" applyFill="1" applyBorder="1" applyAlignment="1">
      <alignment vertical="center"/>
    </xf>
    <xf numFmtId="0" fontId="5" fillId="5" borderId="26" xfId="0" applyNumberFormat="1" applyFont="1" applyFill="1" applyBorder="1" applyAlignment="1">
      <alignment vertical="center"/>
    </xf>
    <xf numFmtId="0" fontId="5" fillId="5" borderId="27" xfId="0" applyNumberFormat="1" applyFont="1" applyFill="1" applyBorder="1" applyAlignment="1">
      <alignment vertical="center"/>
    </xf>
    <xf numFmtId="0" fontId="5" fillId="5" borderId="28" xfId="0" applyNumberFormat="1" applyFont="1" applyFill="1" applyBorder="1" applyAlignment="1">
      <alignment vertical="center"/>
    </xf>
    <xf numFmtId="202" fontId="5" fillId="5" borderId="21" xfId="0" applyNumberFormat="1" applyFont="1" applyFill="1" applyBorder="1" applyAlignment="1">
      <alignment vertical="center"/>
    </xf>
    <xf numFmtId="202" fontId="5" fillId="5" borderId="22" xfId="0" applyNumberFormat="1" applyFont="1" applyFill="1" applyBorder="1" applyAlignment="1">
      <alignment vertical="center"/>
    </xf>
    <xf numFmtId="202" fontId="5" fillId="5" borderId="23" xfId="0" applyNumberFormat="1" applyFont="1" applyFill="1" applyBorder="1" applyAlignment="1">
      <alignment vertical="center"/>
    </xf>
    <xf numFmtId="202" fontId="5" fillId="5" borderId="24" xfId="0" applyNumberFormat="1" applyFont="1" applyFill="1" applyBorder="1" applyAlignment="1">
      <alignment vertical="center"/>
    </xf>
    <xf numFmtId="202" fontId="5" fillId="5" borderId="0" xfId="0" applyNumberFormat="1" applyFont="1" applyFill="1" applyBorder="1" applyAlignment="1">
      <alignment vertical="center"/>
    </xf>
    <xf numFmtId="202" fontId="5" fillId="5" borderId="25" xfId="0" applyNumberFormat="1" applyFont="1" applyFill="1" applyBorder="1" applyAlignment="1">
      <alignment vertical="center"/>
    </xf>
    <xf numFmtId="201" fontId="5" fillId="5" borderId="24" xfId="0" applyNumberFormat="1" applyFont="1" applyFill="1" applyBorder="1" applyAlignment="1">
      <alignment vertical="center"/>
    </xf>
    <xf numFmtId="201" fontId="5" fillId="5" borderId="0" xfId="0" applyNumberFormat="1" applyFont="1" applyFill="1" applyBorder="1" applyAlignment="1">
      <alignment vertical="center"/>
    </xf>
    <xf numFmtId="201" fontId="5" fillId="5" borderId="25" xfId="0" applyNumberFormat="1" applyFont="1" applyFill="1" applyBorder="1" applyAlignment="1">
      <alignment vertical="center"/>
    </xf>
    <xf numFmtId="202" fontId="5" fillId="5" borderId="26" xfId="0" applyNumberFormat="1" applyFont="1" applyFill="1" applyBorder="1" applyAlignment="1">
      <alignment vertical="center"/>
    </xf>
    <xf numFmtId="202" fontId="5" fillId="5" borderId="27" xfId="0" applyNumberFormat="1" applyFont="1" applyFill="1" applyBorder="1" applyAlignment="1">
      <alignment vertical="center"/>
    </xf>
    <xf numFmtId="202" fontId="5" fillId="5" borderId="28" xfId="0" applyNumberFormat="1" applyFont="1" applyFill="1" applyBorder="1" applyAlignment="1">
      <alignment vertical="center"/>
    </xf>
    <xf numFmtId="0" fontId="4" fillId="6" borderId="29" xfId="0" applyNumberFormat="1" applyFont="1" applyFill="1" applyBorder="1" applyAlignment="1">
      <alignment vertical="center"/>
    </xf>
    <xf numFmtId="0" fontId="4" fillId="6" borderId="30" xfId="0" applyNumberFormat="1" applyFont="1" applyFill="1" applyBorder="1" applyAlignment="1">
      <alignment vertical="center"/>
    </xf>
    <xf numFmtId="0" fontId="4" fillId="6" borderId="31" xfId="0" applyNumberFormat="1" applyFont="1" applyFill="1" applyBorder="1" applyAlignment="1">
      <alignment vertical="center"/>
    </xf>
    <xf numFmtId="0" fontId="4" fillId="6" borderId="32" xfId="0" applyNumberFormat="1" applyFont="1" applyFill="1" applyBorder="1" applyAlignment="1">
      <alignment vertical="center"/>
    </xf>
    <xf numFmtId="0" fontId="4" fillId="6" borderId="33" xfId="0" applyNumberFormat="1" applyFont="1" applyFill="1" applyBorder="1" applyAlignment="1">
      <alignment vertical="center"/>
    </xf>
    <xf numFmtId="0" fontId="4" fillId="6" borderId="34" xfId="0" applyNumberFormat="1" applyFont="1" applyFill="1" applyBorder="1" applyAlignment="1">
      <alignment vertical="center"/>
    </xf>
    <xf numFmtId="0" fontId="4" fillId="6" borderId="35" xfId="0" applyNumberFormat="1" applyFont="1" applyFill="1" applyBorder="1" applyAlignment="1">
      <alignment vertical="center"/>
    </xf>
    <xf numFmtId="0" fontId="4" fillId="6" borderId="36" xfId="0" applyNumberFormat="1" applyFont="1" applyFill="1" applyBorder="1" applyAlignment="1">
      <alignment vertical="center"/>
    </xf>
    <xf numFmtId="200" fontId="4" fillId="6" borderId="29" xfId="0" applyNumberFormat="1" applyFont="1" applyFill="1" applyBorder="1" applyAlignment="1">
      <alignment vertical="center"/>
    </xf>
    <xf numFmtId="200" fontId="4" fillId="6" borderId="30" xfId="0" applyNumberFormat="1" applyFont="1" applyFill="1" applyBorder="1" applyAlignment="1">
      <alignment vertical="center"/>
    </xf>
    <xf numFmtId="200" fontId="4" fillId="6" borderId="31" xfId="0" applyNumberFormat="1" applyFont="1" applyFill="1" applyBorder="1" applyAlignment="1">
      <alignment vertical="center"/>
    </xf>
    <xf numFmtId="200" fontId="4" fillId="6" borderId="32" xfId="0" applyNumberFormat="1" applyFont="1" applyFill="1" applyBorder="1" applyAlignment="1">
      <alignment vertical="center"/>
    </xf>
    <xf numFmtId="200" fontId="4" fillId="6" borderId="0" xfId="0" applyNumberFormat="1" applyFont="1" applyFill="1" applyBorder="1" applyAlignment="1">
      <alignment vertical="center"/>
    </xf>
    <xf numFmtId="200" fontId="4" fillId="6" borderId="33" xfId="0" applyNumberFormat="1" applyFont="1" applyFill="1" applyBorder="1" applyAlignment="1">
      <alignment vertical="center"/>
    </xf>
    <xf numFmtId="202" fontId="4" fillId="6" borderId="32" xfId="0" applyNumberFormat="1" applyFont="1" applyFill="1" applyBorder="1" applyAlignment="1">
      <alignment vertical="center"/>
    </xf>
    <xf numFmtId="202" fontId="4" fillId="6" borderId="0" xfId="0" applyNumberFormat="1" applyFont="1" applyFill="1" applyBorder="1" applyAlignment="1">
      <alignment vertical="center"/>
    </xf>
    <xf numFmtId="202" fontId="4" fillId="6" borderId="33" xfId="0" applyNumberFormat="1" applyFont="1" applyFill="1" applyBorder="1" applyAlignment="1">
      <alignment vertical="center"/>
    </xf>
    <xf numFmtId="203" fontId="4" fillId="6" borderId="32" xfId="0" applyNumberFormat="1" applyFont="1" applyFill="1" applyBorder="1" applyAlignment="1">
      <alignment vertical="center"/>
    </xf>
    <xf numFmtId="203" fontId="4" fillId="6" borderId="0" xfId="0" applyNumberFormat="1" applyFont="1" applyFill="1" applyBorder="1" applyAlignment="1">
      <alignment vertical="center"/>
    </xf>
    <xf numFmtId="203" fontId="4" fillId="6" borderId="33" xfId="0" applyNumberFormat="1" applyFont="1" applyFill="1" applyBorder="1" applyAlignment="1">
      <alignment vertical="center"/>
    </xf>
    <xf numFmtId="201" fontId="4" fillId="6" borderId="32" xfId="0" applyNumberFormat="1" applyFont="1" applyFill="1" applyBorder="1" applyAlignment="1">
      <alignment vertical="center"/>
    </xf>
    <xf numFmtId="201" fontId="4" fillId="6" borderId="0" xfId="0" applyNumberFormat="1" applyFont="1" applyFill="1" applyBorder="1" applyAlignment="1">
      <alignment vertical="center"/>
    </xf>
    <xf numFmtId="201" fontId="4" fillId="6" borderId="33" xfId="0" applyNumberFormat="1" applyFont="1" applyFill="1" applyBorder="1" applyAlignment="1">
      <alignment vertical="center"/>
    </xf>
    <xf numFmtId="204" fontId="4" fillId="6" borderId="32" xfId="0" applyNumberFormat="1" applyFont="1" applyFill="1" applyBorder="1" applyAlignment="1">
      <alignment vertical="center"/>
    </xf>
    <xf numFmtId="204" fontId="4" fillId="6" borderId="0" xfId="0" applyNumberFormat="1" applyFont="1" applyFill="1" applyBorder="1" applyAlignment="1">
      <alignment vertical="center"/>
    </xf>
    <xf numFmtId="204" fontId="4" fillId="6" borderId="33" xfId="0" applyNumberFormat="1" applyFont="1" applyFill="1" applyBorder="1" applyAlignment="1">
      <alignment vertical="center"/>
    </xf>
    <xf numFmtId="204" fontId="4" fillId="6" borderId="34" xfId="0" applyNumberFormat="1" applyFont="1" applyFill="1" applyBorder="1" applyAlignment="1">
      <alignment vertical="center"/>
    </xf>
    <xf numFmtId="204" fontId="4" fillId="6" borderId="35" xfId="0" applyNumberFormat="1" applyFont="1" applyFill="1" applyBorder="1" applyAlignment="1">
      <alignment vertical="center"/>
    </xf>
    <xf numFmtId="204" fontId="4" fillId="6" borderId="36" xfId="0" applyNumberFormat="1" applyFont="1" applyFill="1" applyBorder="1" applyAlignment="1">
      <alignment vertical="center"/>
    </xf>
    <xf numFmtId="202" fontId="5" fillId="5" borderId="37" xfId="0" applyNumberFormat="1" applyFont="1" applyFill="1" applyBorder="1" applyAlignment="1">
      <alignment vertical="center"/>
    </xf>
    <xf numFmtId="202" fontId="5" fillId="5" borderId="2" xfId="0" applyNumberFormat="1" applyFont="1" applyFill="1" applyBorder="1" applyAlignment="1">
      <alignment vertical="center"/>
    </xf>
    <xf numFmtId="204" fontId="4" fillId="6" borderId="38" xfId="0" applyNumberFormat="1" applyFont="1" applyFill="1" applyBorder="1" applyAlignment="1">
      <alignment vertical="center"/>
    </xf>
    <xf numFmtId="204" fontId="4" fillId="6" borderId="2" xfId="0" applyNumberFormat="1" applyFont="1" applyFill="1" applyBorder="1" applyAlignment="1">
      <alignment vertical="center"/>
    </xf>
    <xf numFmtId="204" fontId="4" fillId="6" borderId="29" xfId="0" applyNumberFormat="1" applyFont="1" applyFill="1" applyBorder="1" applyAlignment="1">
      <alignment vertical="center"/>
    </xf>
    <xf numFmtId="204" fontId="4" fillId="6" borderId="30" xfId="0" applyNumberFormat="1" applyFont="1" applyFill="1" applyBorder="1" applyAlignment="1">
      <alignment vertical="center"/>
    </xf>
    <xf numFmtId="200" fontId="4" fillId="6" borderId="35" xfId="0" applyNumberFormat="1" applyFont="1" applyFill="1" applyBorder="1" applyAlignment="1">
      <alignment vertical="center"/>
    </xf>
    <xf numFmtId="201" fontId="4" fillId="6" borderId="31" xfId="0" applyNumberFormat="1" applyFont="1" applyFill="1" applyBorder="1" applyAlignment="1">
      <alignment vertical="center"/>
    </xf>
    <xf numFmtId="201" fontId="4" fillId="6" borderId="36" xfId="0" applyNumberFormat="1" applyFont="1" applyFill="1" applyBorder="1" applyAlignment="1">
      <alignment vertical="center"/>
    </xf>
    <xf numFmtId="200" fontId="4" fillId="6" borderId="2" xfId="0" applyNumberFormat="1" applyFont="1" applyFill="1" applyBorder="1" applyAlignment="1">
      <alignment vertical="center"/>
    </xf>
    <xf numFmtId="201" fontId="4" fillId="6" borderId="2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8166dd723044f0" /><Relationship Type="http://schemas.openxmlformats.org/officeDocument/2006/relationships/theme" Target="/xl/theme/theme1.xml" Id="Red3d870d19ae4e76" /><Relationship Type="http://schemas.openxmlformats.org/officeDocument/2006/relationships/sharedStrings" Target="/xl/sharedStrings.xml" Id="R9274d9636ad445c4" /><Relationship Type="http://schemas.openxmlformats.org/officeDocument/2006/relationships/worksheet" Target="/xl/worksheets/sheet1.xml" Id="R7416c8587e554298" /><Relationship Type="http://schemas.openxmlformats.org/officeDocument/2006/relationships/worksheet" Target="/xl/worksheets/sheet2.xml" Id="Redba20def6224dce" /><Relationship Type="http://schemas.openxmlformats.org/officeDocument/2006/relationships/worksheet" Target="/xl/worksheets/sheet3.xml" Id="R32f6250b49cf42bb" /><Relationship Type="http://schemas.openxmlformats.org/officeDocument/2006/relationships/worksheet" Target="/xl/worksheets/sheet4.xml" Id="R3ab22672e4084972" /><Relationship Type="http://schemas.openxmlformats.org/officeDocument/2006/relationships/worksheet" Target="/xl/worksheets/sheet5.xml" Id="R1532e921eb474857" /><Relationship Type="http://schemas.openxmlformats.org/officeDocument/2006/relationships/worksheet" Target="/xl/worksheets/sheet6.xml" Id="R9098ca03c18044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8" hidden="0" customWidth="1"/>
    <col min="2" max="2" width="22" hidden="0" customWidth="1"/>
    <col min="3" max="3" width="16" hidden="0" customWidth="1"/>
    <col min="4" max="4" width="16" hidden="0" customWidth="1"/>
    <col min="5" max="5" width="16" hidden="0" customWidth="1"/>
    <col min="6" max="6" width="16" hidden="0" customWidth="1"/>
  </cols>
  <sheetData>
    <row r="1" ht="36" customHeight="1">
      <c r="A1" s="4" t="str">
        <v>Юнит-экономика: SaaS</v>
      </c>
      <c r="B1" s="4"/>
      <c r="C1" s="4"/>
      <c r="D1" s="4"/>
      <c r="E1" s="4"/>
      <c r="F1" s="4"/>
    </row>
    <row r="2" ht="34" customHeight="1">
      <c r="A2" s="7" t="str">
        <v>Шаблон Aksanov.Digital - вводные выделены желтым, расчеты выполняются формулами</v>
      </c>
      <c r="B2" s="7"/>
      <c r="C2" s="7"/>
      <c r="D2" s="7"/>
      <c r="E2" s="7"/>
      <c r="F2" s="7"/>
    </row>
    <row r="3">
      <c r="A3" s="2"/>
      <c r="B3" s="2"/>
      <c r="C3" s="2"/>
      <c r="D3" s="2"/>
      <c r="E3" s="2"/>
      <c r="F3" s="2"/>
    </row>
    <row r="4" ht="25" customHeight="1">
      <c r="A4" s="10" t="str">
        <v>Как работать</v>
      </c>
      <c r="B4" s="10"/>
      <c r="C4" s="10"/>
      <c r="D4" s="10"/>
      <c r="E4" s="10"/>
      <c r="F4" s="10"/>
    </row>
    <row r="5" ht="34" customHeight="1">
      <c r="A5" s="13" t="str">
        <v>1</v>
      </c>
      <c r="B5" s="14" t="str">
        <v>Откройте лист «Вводные»</v>
      </c>
      <c r="C5" s="14" t="str">
        <v>Заполните желтые ячейки своими данными. Проценты вводятся как 5%, а не как число 5.</v>
      </c>
      <c r="D5" s="14"/>
      <c r="E5" s="14"/>
      <c r="F5" s="14"/>
    </row>
    <row r="6" ht="34" customHeight="1">
      <c r="A6" s="13" t="str">
        <v>2</v>
      </c>
      <c r="B6" s="14" t="str">
        <v>Проверьте расчет</v>
      </c>
      <c r="C6" s="14" t="str">
        <v>На листе «Юнит-экономика» собраны ключевые показатели и точка безубыточности.</v>
      </c>
      <c r="D6" s="14"/>
      <c r="E6" s="14"/>
      <c r="F6" s="14"/>
    </row>
    <row r="7" ht="34" customHeight="1">
      <c r="A7" s="13" t="str">
        <v>3</v>
      </c>
      <c r="B7" s="14" t="str">
        <v>Сравните сценарии</v>
      </c>
      <c r="C7" s="14" t="str">
        <v>На листе «Сценарии» измените желтые коэффициенты для пессимистичного и целевого вариантов.</v>
      </c>
      <c r="D7" s="14"/>
      <c r="E7" s="14"/>
      <c r="F7" s="14"/>
    </row>
    <row r="8" ht="34" customHeight="1">
      <c r="A8" s="13" t="str">
        <v>4</v>
      </c>
      <c r="B8" s="14" t="str">
        <v>Посмотрите 12 месяцев</v>
      </c>
      <c r="C8" s="14" t="str">
        <v>Лист «Помесячный прогноз» использует темпы роста из вводных и показывает динамику прибыли.</v>
      </c>
      <c r="D8" s="14"/>
      <c r="E8" s="14"/>
      <c r="F8" s="14"/>
    </row>
    <row r="9" ht="34" customHeight="1">
      <c r="A9" s="13" t="str">
        <v>5</v>
      </c>
      <c r="B9" s="14" t="str">
        <v>Сверьте смысл метрик</v>
      </c>
      <c r="C9" s="14" t="str">
        <v>Определения и ограничения собраны на листе «Справка».</v>
      </c>
      <c r="D9" s="14"/>
      <c r="E9" s="14"/>
      <c r="F9" s="14"/>
    </row>
    <row r="10">
      <c r="A10" s="2"/>
      <c r="B10" s="2"/>
      <c r="C10" s="2"/>
      <c r="D10" s="2"/>
      <c r="E10" s="2"/>
      <c r="F10" s="2"/>
    </row>
    <row r="11" ht="25" customHeight="1">
      <c r="A11" s="10" t="str">
        <v>Что считает модель</v>
      </c>
      <c r="B11" s="10"/>
      <c r="C11" s="10"/>
      <c r="D11" s="10"/>
      <c r="E11" s="10"/>
      <c r="F11" s="10"/>
    </row>
    <row r="12" ht="38" customHeight="1">
      <c r="A12" s="15" t="str">
        <v>Единица расчета</v>
      </c>
      <c r="B12" s="14" t="str">
        <v>Один платящий клиент за один месяц. LTV считается через месячную валовую прибыль и churn.</v>
      </c>
      <c r="C12" s="14"/>
      <c r="D12" s="14"/>
      <c r="E12" s="14"/>
      <c r="F12" s="14"/>
    </row>
    <row r="13" ht="38" customHeight="1">
      <c r="A13" s="15" t="str">
        <v>Граница модели</v>
      </c>
      <c r="B13" s="14" t="str">
        <v>Юнит-экономика показывает прибыльность единицы и не заменяет полный P&amp;L. Постоянные расходы вынесены отдельно.</v>
      </c>
      <c r="C13" s="14"/>
      <c r="D13" s="14"/>
      <c r="E13" s="14"/>
      <c r="F13" s="14"/>
    </row>
    <row r="14" ht="38" customHeight="1">
      <c r="A14" s="15" t="str">
        <v>Формулы</v>
      </c>
      <c r="B14" s="14" t="str">
        <v>Все производные показатели остаются формулами Excel. При изменении вводных расчет обновляется.</v>
      </c>
      <c r="C14" s="14"/>
      <c r="D14" s="14"/>
      <c r="E14" s="14"/>
      <c r="F14" s="14"/>
    </row>
    <row r="15" ht="38" customHeight="1">
      <c r="A15" s="15" t="str">
        <v>Источник методики</v>
      </c>
      <c r="B15" s="14" t="str">
        <v>unit-economics-facts.md, Knowledge, обновлено 07.07.2026. Бенчмарки используются как ориентиры, а не как нормы.</v>
      </c>
      <c r="C15" s="14"/>
      <c r="D15" s="14"/>
      <c r="E15" s="14"/>
      <c r="F15" s="14"/>
    </row>
    <row r="16">
      <c r="A16" s="2"/>
      <c r="B16" s="2"/>
      <c r="C16" s="2"/>
      <c r="D16" s="2"/>
      <c r="E16" s="2"/>
      <c r="F16" s="2"/>
    </row>
    <row r="17">
      <c r="A17" s="2"/>
      <c r="B17" s="2"/>
      <c r="C17" s="2"/>
      <c r="D17" s="2"/>
      <c r="E17" s="2"/>
      <c r="F17" s="2"/>
    </row>
    <row r="18">
      <c r="A18" s="25" t="str">
        <v>Важно: сопоставляйте CAC и LTV на одной базе. Если CAC включает только рекламу, не сравнивайте его с LTV, рассчитанным после всех расходов. Для управленческого решения дополнительно смотрите денежный поток, налоги и ограничения производства.</v>
      </c>
      <c r="B18" s="26"/>
      <c r="C18" s="26"/>
      <c r="D18" s="26"/>
      <c r="E18" s="26"/>
      <c r="F18" s="27"/>
    </row>
    <row r="19">
      <c r="A19" s="28"/>
      <c r="B19" s="29"/>
      <c r="C19" s="29"/>
      <c r="D19" s="29"/>
      <c r="E19" s="29"/>
      <c r="F19" s="30"/>
    </row>
    <row r="20">
      <c r="A20" s="31"/>
      <c r="B20" s="32"/>
      <c r="C20" s="32"/>
      <c r="D20" s="32"/>
      <c r="E20" s="32"/>
      <c r="F20" s="33"/>
    </row>
    <row r="21">
      <c r="A21" s="2"/>
      <c r="B21" s="2"/>
      <c r="C21" s="2"/>
      <c r="D21" s="2"/>
      <c r="E21" s="2"/>
      <c r="F21" s="2"/>
    </row>
    <row r="22">
      <c r="A22" s="2"/>
      <c r="B22" s="2"/>
      <c r="C22" s="2"/>
      <c r="D22" s="2"/>
      <c r="E22" s="2"/>
      <c r="F22" s="2"/>
    </row>
    <row r="23">
      <c r="A23" s="2"/>
      <c r="B23" s="2"/>
      <c r="C23" s="2"/>
      <c r="D23" s="2"/>
      <c r="E23" s="2"/>
      <c r="F23" s="2"/>
    </row>
    <row r="24">
      <c r="A24" s="2"/>
      <c r="B24" s="2"/>
      <c r="C24" s="2"/>
      <c r="D24" s="2"/>
      <c r="E24" s="2"/>
      <c r="F24" s="2"/>
    </row>
    <row r="25">
      <c r="A25" s="2"/>
      <c r="B25" s="2"/>
      <c r="C25" s="2"/>
      <c r="D25" s="2"/>
      <c r="E25" s="2"/>
      <c r="F25" s="2"/>
    </row>
    <row r="26">
      <c r="A26" s="2"/>
      <c r="B26" s="2"/>
      <c r="C26" s="2"/>
      <c r="D26" s="2"/>
      <c r="E26" s="2"/>
      <c r="F26" s="2"/>
    </row>
    <row r="27">
      <c r="A27" s="2"/>
      <c r="B27" s="2"/>
      <c r="C27" s="2"/>
      <c r="D27" s="2"/>
      <c r="E27" s="2"/>
      <c r="F27" s="2"/>
    </row>
    <row r="28">
      <c r="A28" s="2"/>
      <c r="B28" s="2"/>
      <c r="C28" s="2"/>
      <c r="D28" s="2"/>
      <c r="E28" s="2"/>
      <c r="F28" s="2"/>
    </row>
  </sheetData>
  <mergeCells>
    <mergeCell ref="A1:F1"/>
    <mergeCell ref="A2:F2"/>
    <mergeCell ref="A4:F4"/>
    <mergeCell ref="B5:F5"/>
    <mergeCell ref="B6:F6"/>
    <mergeCell ref="B7:F7"/>
    <mergeCell ref="B8:F8"/>
    <mergeCell ref="B9:F9"/>
    <mergeCell ref="A11:F11"/>
    <mergeCell ref="B12:F12"/>
    <mergeCell ref="B13:F13"/>
    <mergeCell ref="B14:F14"/>
    <mergeCell ref="B15:F15"/>
    <mergeCell ref="A18:F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36" hidden="0" customWidth="1"/>
    <col min="2" max="2" width="18" hidden="0" customWidth="1"/>
    <col min="3" max="3" width="21" hidden="0" customWidth="1"/>
    <col min="4" max="4" width="46" hidden="0" customWidth="1"/>
  </cols>
  <sheetData>
    <row r="1" ht="36" customHeight="1">
      <c r="A1" s="4" t="str">
        <v>Вводные: SaaS</v>
      </c>
      <c r="B1" s="4"/>
      <c r="C1" s="4"/>
      <c r="D1" s="4"/>
    </row>
    <row r="2" ht="34" customHeight="1">
      <c r="A2" s="7" t="str">
        <v>Меняйте только желтые ячейки. Все денежные значения должны быть в одной валюте.</v>
      </c>
      <c r="B2" s="7"/>
      <c r="C2" s="7"/>
      <c r="D2" s="7"/>
    </row>
    <row r="3">
      <c r="A3" s="2"/>
      <c r="B3" s="2"/>
      <c r="C3" s="2"/>
      <c r="D3" s="2"/>
    </row>
    <row r="4">
      <c r="A4" s="38" t="str">
        <v>Параметр</v>
      </c>
      <c r="B4" s="39" t="str">
        <v>Значение</v>
      </c>
      <c r="C4" s="39" t="str">
        <v>Единица</v>
      </c>
      <c r="D4" s="40" t="str">
        <v>Как понимать</v>
      </c>
    </row>
    <row r="5" ht="28" customHeight="1">
      <c r="A5" s="2" t="str">
        <v>Валюта</v>
      </c>
      <c r="B5" s="44" t="str">
        <v>USD</v>
      </c>
      <c r="C5" s="2" t="str">
        <v>код</v>
      </c>
      <c r="D5" s="53" t="str">
        <v>USD, EUR, KZT, UZS, AED или RUB</v>
      </c>
    </row>
    <row r="6" ht="28" customHeight="1">
      <c r="A6" s="2" t="str">
        <v>ARPU в месяц</v>
      </c>
      <c r="B6" s="46" t="n">
        <v>40</v>
      </c>
      <c r="C6" s="2" t="str">
        <v>на клиента</v>
      </c>
      <c r="D6" s="53" t="str">
        <v>Средняя подписка до скидок</v>
      </c>
    </row>
    <row r="7" ht="28" customHeight="1">
      <c r="A7" s="2" t="str">
        <v>Переменная стоимость обслуживания</v>
      </c>
      <c r="B7" s="46" t="n">
        <v>8</v>
      </c>
      <c r="C7" s="2" t="str">
        <v>на клиента / месяц</v>
      </c>
      <c r="D7" s="53" t="str">
        <v>Хостинг, поддержка и сторонние API</v>
      </c>
    </row>
    <row r="8" ht="28" customHeight="1">
      <c r="A8" s="2" t="str">
        <v>Комиссия платежей</v>
      </c>
      <c r="B8" s="48" t="n">
        <v>0.03</v>
      </c>
      <c r="C8" s="2" t="str">
        <v>% чистой выручки</v>
      </c>
      <c r="D8" s="53" t="str">
        <v>Эквайринг и платежные системы</v>
      </c>
    </row>
    <row r="9" ht="28" customHeight="1">
      <c r="A9" s="2" t="str">
        <v>Скидки и возвраты</v>
      </c>
      <c r="B9" s="48" t="n">
        <v>0.01</v>
      </c>
      <c r="C9" s="2" t="str">
        <v>% ARPU</v>
      </c>
      <c r="D9" s="53" t="str">
        <v>Средняя потеря выручки</v>
      </c>
    </row>
    <row r="10" ht="28" customHeight="1">
      <c r="A10" s="2" t="str">
        <v>Месячный logo churn</v>
      </c>
      <c r="B10" s="48" t="n">
        <v>0.04</v>
      </c>
      <c r="C10" s="2" t="str">
        <v>% клиентов</v>
      </c>
      <c r="D10" s="53" t="str">
        <v>Доля ушедших клиентов за месяц</v>
      </c>
    </row>
    <row r="11" ht="28" customHeight="1">
      <c r="A11" s="2" t="str">
        <v>Продажи и маркетинг в месяц</v>
      </c>
      <c r="B11" s="46" t="n">
        <v>50000</v>
      </c>
      <c r="C11" s="2" t="str">
        <v>в месяц</v>
      </c>
      <c r="D11" s="53" t="str">
        <v>Полные расходы на привлечение</v>
      </c>
    </row>
    <row r="12" ht="28" customHeight="1">
      <c r="A12" s="2" t="str">
        <v>Новых платящих клиентов</v>
      </c>
      <c r="B12" s="46" t="n">
        <v>100</v>
      </c>
      <c r="C12" s="2" t="str">
        <v>в месяц</v>
      </c>
      <c r="D12" s="53" t="str">
        <v>Только новые, без продлений</v>
      </c>
    </row>
    <row r="13" ht="28" customHeight="1">
      <c r="A13" s="2" t="str">
        <v>Клиентов на начало месяца</v>
      </c>
      <c r="B13" s="46" t="n">
        <v>1000</v>
      </c>
      <c r="C13" s="2" t="str">
        <v>клиентов</v>
      </c>
      <c r="D13" s="53" t="str">
        <v>Активные платящие клиенты</v>
      </c>
    </row>
    <row r="14" ht="28" customHeight="1">
      <c r="A14" s="2" t="str">
        <v>Expansion MRR</v>
      </c>
      <c r="B14" s="48" t="n">
        <v>0.02</v>
      </c>
      <c r="C14" s="2" t="str">
        <v>% стартового MRR</v>
      </c>
      <c r="D14" s="53" t="str">
        <v>Апгрейды и дополнительные места</v>
      </c>
    </row>
    <row r="15" ht="28" customHeight="1">
      <c r="A15" s="2" t="str">
        <v>Contraction MRR</v>
      </c>
      <c r="B15" s="48" t="n">
        <v>0.01</v>
      </c>
      <c r="C15" s="2" t="str">
        <v>% стартового MRR</v>
      </c>
      <c r="D15" s="53" t="str">
        <v>Даунгрейды и скидки</v>
      </c>
    </row>
    <row r="16" ht="28" customHeight="1">
      <c r="A16" s="2" t="str">
        <v>Постоянные расходы в месяц</v>
      </c>
      <c r="B16" s="46" t="n">
        <v>70000</v>
      </c>
      <c r="C16" s="2" t="str">
        <v>в месяц</v>
      </c>
      <c r="D16" s="53" t="str">
        <v>Команда и постоянные сервисы вне COGS</v>
      </c>
    </row>
    <row r="17" ht="28" customHeight="1">
      <c r="A17" s="2" t="str">
        <v>Рост новых клиентов в месяц</v>
      </c>
      <c r="B17" s="48" t="n">
        <v>0.03</v>
      </c>
      <c r="C17" s="2" t="str">
        <v>%</v>
      </c>
      <c r="D17" s="53" t="str">
        <v>Для прогноза на 12 месяцев</v>
      </c>
    </row>
    <row r="18" ht="28" customHeight="1">
      <c r="A18" s="11" t="str">
        <v>Рост ARPU в месяц</v>
      </c>
      <c r="B18" s="50" t="n">
        <v>0</v>
      </c>
      <c r="C18" s="11" t="str">
        <v>%</v>
      </c>
      <c r="D18" s="54" t="str">
        <v>Для прогноза на 12 месяцев</v>
      </c>
    </row>
    <row r="19">
      <c r="A19" s="2"/>
      <c r="B19" s="2"/>
      <c r="C19" s="2"/>
      <c r="D19" s="2"/>
    </row>
    <row r="20">
      <c r="A20" s="25" t="str">
        <v>Logo churn считает потерю клиентов, NRR - изменение выручки существующей базы. Если у продукта нет данных по expansion и contraction, оставьте эти поля нулевыми.</v>
      </c>
      <c r="B20" s="26"/>
      <c r="C20" s="26"/>
      <c r="D20" s="27"/>
    </row>
    <row r="21">
      <c r="A21" s="28"/>
      <c r="B21" s="29"/>
      <c r="C21" s="29"/>
      <c r="D21" s="30"/>
    </row>
    <row r="22">
      <c r="A22" s="31"/>
      <c r="B22" s="32"/>
      <c r="C22" s="32"/>
      <c r="D22" s="33"/>
    </row>
    <row r="23">
      <c r="A23" s="2"/>
      <c r="B23" s="2"/>
      <c r="C23" s="2"/>
      <c r="D23" s="2"/>
    </row>
  </sheetData>
  <mergeCells>
    <mergeCell ref="A1:D1"/>
    <mergeCell ref="A2:D2"/>
    <mergeCell ref="A20:D22"/>
  </mergeCells>
  <dataValidations count="1">
    <dataValidation type="list" sqref="B5">
      <formula1>"USD,EUR,KZT,UZS,AED,RUB"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38" hidden="0" customWidth="1"/>
    <col min="2" max="2" width="18" hidden="0" customWidth="1"/>
    <col min="3" max="3" width="19" hidden="0" customWidth="1"/>
    <col min="4" max="4" width="49" hidden="0" customWidth="1"/>
  </cols>
  <sheetData>
    <row r="1" ht="36" customHeight="1">
      <c r="A1" s="4" t="str">
        <v>Юнит-экономика SaaS</v>
      </c>
      <c r="B1" s="4"/>
      <c r="C1" s="4"/>
      <c r="D1" s="4"/>
    </row>
    <row r="2" ht="34" customHeight="1">
      <c r="A2" s="7" t="str">
        <v>Расчет на клиента-месяц и на текущую базу</v>
      </c>
      <c r="B2" s="7"/>
      <c r="C2" s="7"/>
      <c r="D2" s="7"/>
    </row>
    <row r="3">
      <c r="A3" s="2"/>
      <c r="B3" s="2"/>
      <c r="C3" s="2"/>
      <c r="D3" s="2"/>
    </row>
    <row r="4">
      <c r="A4" s="38" t="str">
        <v>Показатель</v>
      </c>
      <c r="B4" s="39" t="str">
        <v>Результат</v>
      </c>
      <c r="C4" s="39" t="str">
        <v>Единица</v>
      </c>
      <c r="D4" s="40" t="str">
        <v>Смысл</v>
      </c>
    </row>
    <row r="5" ht="28" customHeight="1">
      <c r="A5" s="2" t="str">
        <v>Чистый ARPU</v>
      </c>
      <c r="B5" s="61" t="n">
        <f>'Вводные'!B6*(1-'Вводные'!B9)</f>
        <v>39.6</v>
      </c>
      <c r="C5" s="2" t="str">
        <v>на клиента</v>
      </c>
      <c r="D5" s="53" t="str">
        <v>ARPU после скидок и возвратов</v>
      </c>
    </row>
    <row r="6" ht="28" customHeight="1">
      <c r="A6" s="2" t="str">
        <v>Комиссия платежей</v>
      </c>
      <c r="B6" s="61" t="n">
        <f>B5*'Вводные'!B8</f>
        <v>1.188</v>
      </c>
      <c r="C6" s="2" t="str">
        <v>на клиента</v>
      </c>
      <c r="D6" s="53" t="str">
        <v>Комиссия платежной системы</v>
      </c>
    </row>
    <row r="7" ht="28" customHeight="1">
      <c r="A7" s="2" t="str">
        <v>Валовая прибыль клиента / месяц</v>
      </c>
      <c r="B7" s="61" t="n">
        <f>B5-B6-'Вводные'!B7</f>
        <v>30.412</v>
      </c>
      <c r="C7" s="2" t="str">
        <v>на клиента / месяц</v>
      </c>
      <c r="D7" s="53" t="str">
        <v>До CAC и постоянных расходов</v>
      </c>
    </row>
    <row r="8" ht="28" customHeight="1">
      <c r="A8" s="2" t="str">
        <v>Валовая маржа</v>
      </c>
      <c r="B8" s="62" t="n">
        <f>IF(B5=0,0,B7/B5)</f>
        <v>0.7679797979797979</v>
      </c>
      <c r="C8" s="2" t="str">
        <v>%</v>
      </c>
      <c r="D8" s="53" t="str">
        <v>Доля чистого ARPU после COGS</v>
      </c>
    </row>
    <row r="9" ht="28" customHeight="1">
      <c r="A9" s="2" t="str">
        <v>CAC</v>
      </c>
      <c r="B9" s="61" t="n">
        <f>IF('Вводные'!B12=0,0,'Вводные'!B11/'Вводные'!B12)</f>
        <v>500</v>
      </c>
      <c r="C9" s="2" t="str">
        <v>на клиента</v>
      </c>
      <c r="D9" s="53" t="str">
        <v>Продажи и маркетинг на нового клиента</v>
      </c>
    </row>
    <row r="10" ht="28" customHeight="1">
      <c r="A10" s="2" t="str">
        <v>Ожидаемый срок жизни</v>
      </c>
      <c r="B10" s="61" t="n">
        <f>IF('Вводные'!B10=0,0,1/'Вводные'!B10)</f>
        <v>25</v>
      </c>
      <c r="C10" s="2" t="str">
        <v>месяцев</v>
      </c>
      <c r="D10" s="53" t="str">
        <v>При постоянном churn</v>
      </c>
    </row>
    <row r="11" ht="28" customHeight="1">
      <c r="A11" s="2" t="str">
        <v>LTV по валовой прибыли</v>
      </c>
      <c r="B11" s="61" t="n">
        <f>IF('Вводные'!B10=0,0,B7/'Вводные'!B10)</f>
        <v>760.3</v>
      </c>
      <c r="C11" s="2" t="str">
        <v>на клиента</v>
      </c>
      <c r="D11" s="53" t="str">
        <v>Валовая прибыль за срок жизни</v>
      </c>
    </row>
    <row r="12" ht="28" customHeight="1">
      <c r="A12" s="2" t="str">
        <v>LTV / CAC</v>
      </c>
      <c r="B12" s="63" t="n">
        <f>IF(B9=0,0,B11/B9)</f>
        <v>1.5206</v>
      </c>
      <c r="C12" s="2" t="str">
        <v>x</v>
      </c>
      <c r="D12" s="53" t="str">
        <v>Качество привлечения при сопоставимой базе расходов</v>
      </c>
    </row>
    <row r="13" ht="28" customHeight="1">
      <c r="A13" s="2" t="str">
        <v>Окупаемость CAC</v>
      </c>
      <c r="B13" s="64" t="n">
        <f>IF(B7&lt;=0,0,B9/B7)</f>
        <v>16.440878600552413</v>
      </c>
      <c r="C13" s="2" t="str">
        <v>месяцев</v>
      </c>
      <c r="D13" s="53" t="str">
        <v>Срок возврата CAC валовой прибылью</v>
      </c>
    </row>
    <row r="14" ht="28" customHeight="1">
      <c r="A14" s="2" t="str">
        <v>MRR на начало</v>
      </c>
      <c r="B14" s="65" t="n">
        <f>'Вводные'!B13*B5</f>
        <v>39600</v>
      </c>
      <c r="C14" s="2" t="str">
        <v>в месяц</v>
      </c>
      <c r="D14" s="53" t="str">
        <v>Выручка текущей базы</v>
      </c>
    </row>
    <row r="15" ht="28" customHeight="1">
      <c r="A15" s="2" t="str">
        <v>Churned MRR</v>
      </c>
      <c r="B15" s="65" t="n">
        <f>B14*'Вводные'!B10</f>
        <v>1584</v>
      </c>
      <c r="C15" s="2" t="str">
        <v>в месяц</v>
      </c>
      <c r="D15" s="53" t="str">
        <v>Потеря MRR из-за churn</v>
      </c>
    </row>
    <row r="16" ht="28" customHeight="1">
      <c r="A16" s="2" t="str">
        <v>Expansion MRR</v>
      </c>
      <c r="B16" s="65" t="n">
        <f>B14*'Вводные'!B14</f>
        <v>792</v>
      </c>
      <c r="C16" s="2" t="str">
        <v>в месяц</v>
      </c>
      <c r="D16" s="53" t="str">
        <v>Рост от текущих клиентов</v>
      </c>
    </row>
    <row r="17" ht="28" customHeight="1">
      <c r="A17" s="2" t="str">
        <v>Contraction MRR</v>
      </c>
      <c r="B17" s="65" t="n">
        <f>B14*'Вводные'!B15</f>
        <v>396</v>
      </c>
      <c r="C17" s="2" t="str">
        <v>в месяц</v>
      </c>
      <c r="D17" s="53" t="str">
        <v>Снижение от текущих клиентов</v>
      </c>
    </row>
    <row r="18" ht="28" customHeight="1">
      <c r="A18" s="2" t="str">
        <v>New MRR</v>
      </c>
      <c r="B18" s="65" t="n">
        <f>'Вводные'!B12*B5</f>
        <v>3960</v>
      </c>
      <c r="C18" s="2" t="str">
        <v>в месяц</v>
      </c>
      <c r="D18" s="53" t="str">
        <v>MRR новых клиентов</v>
      </c>
    </row>
    <row r="19" ht="28" customHeight="1">
      <c r="A19" s="2" t="str">
        <v>MRR на конец</v>
      </c>
      <c r="B19" s="65" t="n">
        <f>B14-B15+B16-B17+B18</f>
        <v>42372</v>
      </c>
      <c r="C19" s="2" t="str">
        <v>в месяц</v>
      </c>
      <c r="D19" s="53" t="str">
        <v>MRR после всех движений</v>
      </c>
    </row>
    <row r="20" ht="28" customHeight="1">
      <c r="A20" s="2" t="str">
        <v>NRR</v>
      </c>
      <c r="B20" s="62" t="n">
        <f>IF(B14=0,0,(B14+B16-B17-B15)/B14)</f>
        <v>0.97</v>
      </c>
      <c r="C20" s="2" t="str">
        <v>%</v>
      </c>
      <c r="D20" s="53" t="str">
        <v>Удержание выручки текущей базы</v>
      </c>
    </row>
    <row r="21" ht="28" customHeight="1">
      <c r="A21" s="2" t="str">
        <v>Клиентов на конец</v>
      </c>
      <c r="B21" s="65" t="n">
        <f>'Вводные'!B13*(1-'Вводные'!B10)+'Вводные'!B12</f>
        <v>1060</v>
      </c>
      <c r="C21" s="2" t="str">
        <v>клиентов</v>
      </c>
      <c r="D21" s="53" t="str">
        <v>После churn и новых клиентов</v>
      </c>
    </row>
    <row r="22" ht="28" customHeight="1">
      <c r="A22" s="2" t="str">
        <v>Валовая прибыль в месяц</v>
      </c>
      <c r="B22" s="65" t="n">
        <f>(('Вводные'!B13+B21)/2)*B7</f>
        <v>31324.36</v>
      </c>
      <c r="C22" s="2" t="str">
        <v>в месяц</v>
      </c>
      <c r="D22" s="53" t="str">
        <v>По средней базе месяца</v>
      </c>
    </row>
    <row r="23" ht="28" customHeight="1">
      <c r="A23" s="2" t="str">
        <v>Операционная прибыль в месяц</v>
      </c>
      <c r="B23" s="65" t="n">
        <f>B22-'Вводные'!B11-'Вводные'!B16</f>
        <v>-88675.64</v>
      </c>
      <c r="C23" s="2" t="str">
        <v>в месяц</v>
      </c>
      <c r="D23" s="53" t="str">
        <v>После маркетинга и постоянных расходов</v>
      </c>
    </row>
    <row r="24" ht="28" customHeight="1">
      <c r="A24" s="11" t="str">
        <v>Клиентов для покрытия текущих расходов</v>
      </c>
      <c r="B24" s="67" t="n">
        <f>IF(B7&lt;=0,0,ROUNDUP(('Вводные'!B11+'Вводные'!B16)/B7,0))</f>
        <v>3946</v>
      </c>
      <c r="C24" s="11" t="str">
        <v>клиентов</v>
      </c>
      <c r="D24" s="54" t="str">
        <v>Приближенная точка покрытия расходов</v>
      </c>
    </row>
    <row r="25">
      <c r="A25" s="2"/>
      <c r="B25" s="2"/>
      <c r="C25" s="2"/>
      <c r="D25" s="2"/>
    </row>
    <row r="26">
      <c r="A26" s="25" t="str">
        <v>Формула LTV через 1 / churn предполагает стабильный churn. Для зрелого продукта точнее использовать когорты и денежные потоки по месяцам. NRR и logo churn отвечают на разные вопросы, поэтому в модели сохранены оба показателя.</v>
      </c>
      <c r="B26" s="26"/>
      <c r="C26" s="26"/>
      <c r="D26" s="27"/>
    </row>
    <row r="27">
      <c r="A27" s="28"/>
      <c r="B27" s="29"/>
      <c r="C27" s="29"/>
      <c r="D27" s="30"/>
    </row>
    <row r="28">
      <c r="A28" s="31"/>
      <c r="B28" s="32"/>
      <c r="C28" s="32"/>
      <c r="D28" s="33"/>
    </row>
    <row r="29">
      <c r="A29" s="2"/>
      <c r="B29" s="2"/>
      <c r="C29" s="2"/>
      <c r="D29" s="2"/>
    </row>
    <row r="30">
      <c r="A30" s="2"/>
      <c r="B30" s="2"/>
      <c r="C30" s="2"/>
      <c r="D30" s="2"/>
    </row>
  </sheetData>
  <mergeCells>
    <mergeCell ref="A1:D1"/>
    <mergeCell ref="A2:D2"/>
    <mergeCell ref="A26:D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39" hidden="0" customWidth="1"/>
    <col min="2" max="2" width="19" hidden="0" customWidth="1"/>
    <col min="3" max="3" width="19" hidden="0" customWidth="1"/>
    <col min="4" max="4" width="19" hidden="0" customWidth="1"/>
  </cols>
  <sheetData>
    <row r="1" ht="36" customHeight="1">
      <c r="A1" s="4" t="str">
        <v>Сценарии SaaS</v>
      </c>
      <c r="B1" s="4"/>
      <c r="C1" s="4"/>
      <c r="D1" s="4"/>
    </row>
    <row r="2" ht="34" customHeight="1">
      <c r="A2" s="7" t="str">
        <v>Желтые ячейки - управляемые допущения. Изменение churn задается в процентных пунктах.</v>
      </c>
      <c r="B2" s="7"/>
      <c r="C2" s="7"/>
      <c r="D2" s="7"/>
    </row>
    <row r="3">
      <c r="A3" s="2"/>
      <c r="B3" s="2"/>
      <c r="C3" s="2"/>
      <c r="D3" s="2"/>
    </row>
    <row r="4">
      <c r="A4" s="38" t="str">
        <v>Допущение</v>
      </c>
      <c r="B4" s="39" t="str">
        <v>Базовый</v>
      </c>
      <c r="C4" s="39" t="str">
        <v>Пессимистичный</v>
      </c>
      <c r="D4" s="40" t="str">
        <v>Целевой</v>
      </c>
    </row>
    <row r="5">
      <c r="A5" s="2" t="str">
        <v>ARPU, коэффициент</v>
      </c>
      <c r="B5" s="79" t="n">
        <v>1</v>
      </c>
      <c r="C5" s="80" t="n">
        <v>0.9</v>
      </c>
      <c r="D5" s="80" t="n">
        <v>1.1</v>
      </c>
    </row>
    <row r="6">
      <c r="A6" s="2" t="str">
        <v>Стоимость обслуживания, коэффициент</v>
      </c>
      <c r="B6" s="79" t="n">
        <v>1</v>
      </c>
      <c r="C6" s="80" t="n">
        <v>1.15</v>
      </c>
      <c r="D6" s="80" t="n">
        <v>0.9</v>
      </c>
    </row>
    <row r="7">
      <c r="A7" s="2" t="str">
        <v>Churn, изменение п.п.</v>
      </c>
      <c r="B7" s="82" t="n">
        <v>0</v>
      </c>
      <c r="C7" s="83" t="n">
        <v>0.02</v>
      </c>
      <c r="D7" s="83" t="n">
        <v>-0.01</v>
      </c>
    </row>
    <row r="8">
      <c r="A8" s="2" t="str">
        <v>CAC, коэффициент</v>
      </c>
      <c r="B8" s="79" t="n">
        <v>1</v>
      </c>
      <c r="C8" s="80" t="n">
        <v>1.25</v>
      </c>
      <c r="D8" s="80" t="n">
        <v>0.85</v>
      </c>
    </row>
    <row r="9">
      <c r="A9" s="11" t="str">
        <v>Новые клиенты, коэффициент</v>
      </c>
      <c r="B9" s="117" t="n">
        <v>1</v>
      </c>
      <c r="C9" s="118" t="n">
        <v>0.8</v>
      </c>
      <c r="D9" s="118" t="n">
        <v>1.3</v>
      </c>
    </row>
    <row r="10">
      <c r="A10" s="2"/>
      <c r="B10" s="2"/>
      <c r="C10" s="2"/>
      <c r="D10" s="2"/>
    </row>
    <row r="11" ht="25" customHeight="1">
      <c r="A11" s="10" t="str">
        <v>Результат</v>
      </c>
      <c r="B11" s="10"/>
      <c r="C11" s="10"/>
      <c r="D11" s="10"/>
    </row>
    <row r="12">
      <c r="A12" s="2" t="str">
        <v>Валовая прибыль / клиент / месяц</v>
      </c>
      <c r="B12" s="99" t="n">
        <f>('Вводные'!B6*B5*(1-'Вводные'!B9))*(1-'Вводные'!B8)-'Вводные'!B7*B6</f>
        <v>30.412</v>
      </c>
      <c r="C12" s="100" t="n">
        <f>('Вводные'!B6*C5*(1-'Вводные'!B9))*(1-'Вводные'!B8)-'Вводные'!B7*C6</f>
        <v>25.3708</v>
      </c>
      <c r="D12" s="100" t="n">
        <f>('Вводные'!B6*D5*(1-'Вводные'!B9))*(1-'Вводные'!B8)-'Вводные'!B7*D6</f>
        <v>35.0532</v>
      </c>
    </row>
    <row r="13">
      <c r="A13" s="2" t="str">
        <v>CAC</v>
      </c>
      <c r="B13" s="99" t="n">
        <f>('Вводные'!B11/'Вводные'!B12)*B8</f>
        <v>500</v>
      </c>
      <c r="C13" s="100" t="n">
        <f>('Вводные'!B11/'Вводные'!B12)*C8</f>
        <v>625</v>
      </c>
      <c r="D13" s="100" t="n">
        <f>('Вводные'!B11/'Вводные'!B12)*D8</f>
        <v>425</v>
      </c>
    </row>
    <row r="14">
      <c r="A14" s="2" t="str">
        <v>LTV</v>
      </c>
      <c r="B14" s="99" t="n">
        <f>IF(MAX(0.0001,'Вводные'!B10+B7)=0,0,B12/MAX(0.0001,'Вводные'!B10+B7))</f>
        <v>760.3</v>
      </c>
      <c r="C14" s="100" t="n">
        <f>IF(MAX(0.0001,'Вводные'!B10+C7)=0,0,C12/MAX(0.0001,'Вводные'!B10+C7))</f>
        <v>422.8466666666667</v>
      </c>
      <c r="D14" s="100" t="n">
        <f>IF(MAX(0.0001,'Вводные'!B10+D7)=0,0,D12/MAX(0.0001,'Вводные'!B10+D7))</f>
        <v>1168.4399999999998</v>
      </c>
    </row>
    <row r="15">
      <c r="A15" s="2" t="str">
        <v>LTV / CAC</v>
      </c>
      <c r="B15" s="102" t="n">
        <f>IF(B13=0,0,B14/B13)</f>
        <v>1.5206</v>
      </c>
      <c r="C15" s="103" t="n">
        <f>IF(C13=0,0,C14/C13)</f>
        <v>0.6765546666666667</v>
      </c>
      <c r="D15" s="103" t="n">
        <f>IF(D13=0,0,D14/D13)</f>
        <v>2.749270588235294</v>
      </c>
    </row>
    <row r="16">
      <c r="A16" s="2" t="str">
        <v>Окупаемость, месяцев</v>
      </c>
      <c r="B16" s="105" t="n">
        <f>IF(B12&lt;=0,0,B13/B12)</f>
        <v>16.440878600552413</v>
      </c>
      <c r="C16" s="106" t="n">
        <f>IF(C12&lt;=0,0,C13/C12)</f>
        <v>24.63461932615448</v>
      </c>
      <c r="D16" s="106" t="n">
        <f>IF(D12&lt;=0,0,D13/D12)</f>
        <v>12.12442801227848</v>
      </c>
    </row>
    <row r="17">
      <c r="A17" s="2" t="str">
        <v>NRR</v>
      </c>
      <c r="B17" s="108" t="n">
        <f>1-MAX(0,'Вводные'!B10+B7)+'Вводные'!B14-'Вводные'!B15</f>
        <v>0.97</v>
      </c>
      <c r="C17" s="109" t="n">
        <f>1-MAX(0,'Вводные'!B10+C7)+'Вводные'!B14-'Вводные'!B15</f>
        <v>0.95</v>
      </c>
      <c r="D17" s="109" t="n">
        <f>1-MAX(0,'Вводные'!B10+D7)+'Вводные'!B14-'Вводные'!B15</f>
        <v>0.98</v>
      </c>
    </row>
    <row r="18">
      <c r="A18" s="2" t="str">
        <v>Новых клиентов</v>
      </c>
      <c r="B18" s="111" t="n">
        <f>'Вводные'!B12*B9</f>
        <v>100</v>
      </c>
      <c r="C18" s="112" t="n">
        <f>'Вводные'!B12*C9</f>
        <v>80</v>
      </c>
      <c r="D18" s="112" t="n">
        <f>'Вводные'!B12*D9</f>
        <v>130</v>
      </c>
    </row>
    <row r="19">
      <c r="A19" s="2" t="str">
        <v>MRR на конец</v>
      </c>
      <c r="B19" s="111" t="n">
        <f>('Вводные'!B13*('Вводные'!B6*B5*(1-'Вводные'!B9)))*B17+B18*('Вводные'!B6*B5*(1-'Вводные'!B9))</f>
        <v>42372</v>
      </c>
      <c r="C19" s="112" t="n">
        <f>('Вводные'!B13*('Вводные'!B6*C5*(1-'Вводные'!B9)))*C17+C18*('Вводные'!B6*C5*(1-'Вводные'!B9))</f>
        <v>36709.2</v>
      </c>
      <c r="D19" s="112" t="n">
        <f>('Вводные'!B13*('Вводные'!B6*D5*(1-'Вводные'!B9)))*D17+D18*('Вводные'!B6*D5*(1-'Вводные'!B9))</f>
        <v>48351.6</v>
      </c>
    </row>
    <row r="20">
      <c r="A20" s="11" t="str">
        <v>Операционная прибыль</v>
      </c>
      <c r="B20" s="119" t="n">
        <f>B12*(('Вводные'!B13+('Вводные'!B13*(1-MAX(0,'Вводные'!B10+B7))+B18))/2)-(B13*B18)-'Вводные'!B16</f>
        <v>-88675.64</v>
      </c>
      <c r="C20" s="120" t="n">
        <f>C12*(('Вводные'!B13+('Вводные'!B13*(1-MAX(0,'Вводные'!B10+C7))+C18))/2)-(C13*C18)-'Вводные'!B16</f>
        <v>-94375.492</v>
      </c>
      <c r="D20" s="120" t="n">
        <f>D12*(('Вводные'!B13+('Вводные'!B13*(1-MAX(0,'Вводные'!B10+D7))+D18))/2)-(D13*D18)-'Вводные'!B16</f>
        <v>-88444.14000000001</v>
      </c>
    </row>
    <row r="21">
      <c r="A21" s="2"/>
      <c r="B21" s="2"/>
      <c r="C21" s="2"/>
      <c r="D21" s="2"/>
    </row>
    <row r="22">
      <c r="A22" s="25" t="str">
        <v>Проверяйте, какой рычаг создает целевой сценарий: цена, удержание, стоимость обслуживания или CAC. Одновременное улучшение всех метрик редко происходит без дополнительных затрат.</v>
      </c>
      <c r="B22" s="26"/>
      <c r="C22" s="26"/>
      <c r="D22" s="27"/>
    </row>
    <row r="23">
      <c r="A23" s="31"/>
      <c r="B23" s="32"/>
      <c r="C23" s="32"/>
      <c r="D23" s="33"/>
    </row>
    <row r="24">
      <c r="A24" s="2"/>
      <c r="B24" s="2"/>
      <c r="C24" s="2"/>
      <c r="D24" s="2"/>
    </row>
  </sheetData>
  <mergeCells>
    <mergeCell ref="A1:D1"/>
    <mergeCell ref="A2:D2"/>
    <mergeCell ref="A11:D11"/>
    <mergeCell ref="A22:D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3" hidden="0" customWidth="1"/>
    <col min="2" max="2" width="18" hidden="0" customWidth="1"/>
    <col min="3" max="3" width="11" hidden="0" customWidth="1"/>
    <col min="4" max="4" width="12" hidden="0" customWidth="1"/>
    <col min="5" max="5" width="18" hidden="0" customWidth="1"/>
    <col min="6" max="6" width="14" hidden="0" customWidth="1"/>
    <col min="7" max="7" width="16" hidden="0" customWidth="1"/>
    <col min="8" max="8" width="16" hidden="0" customWidth="1"/>
    <col min="9" max="9" width="17" hidden="0" customWidth="1"/>
    <col min="10" max="10" width="21" hidden="0" customWidth="1"/>
    <col min="11" max="11" width="19" hidden="0" customWidth="1"/>
    <col min="12" max="12" width="20" hidden="0" customWidth="1"/>
    <col min="13" max="13" width="11" hidden="0" customWidth="1"/>
  </cols>
  <sheetData>
    <row r="1" ht="36" customHeight="1">
      <c r="A1" s="4" t="str">
        <v>Прогноз SaaS на 12 месяцев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ht="34" customHeight="1">
      <c r="A2" s="7" t="str">
        <v>MRR учитывает churn, expansion, contraction и новых клиентов. CAC считается постоянным.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44" customHeight="1">
      <c r="A4" s="38" t="str">
        <v>Месяц</v>
      </c>
      <c r="B4" s="39" t="str">
        <v>Клиенты на начало</v>
      </c>
      <c r="C4" s="39" t="str">
        <v>Новые</v>
      </c>
      <c r="D4" s="39" t="str">
        <v>Ушедшие</v>
      </c>
      <c r="E4" s="39" t="str">
        <v>Клиенты на конец</v>
      </c>
      <c r="F4" s="39" t="str">
        <v>Чистый ARPU</v>
      </c>
      <c r="G4" s="39" t="str">
        <v>MRR на начало</v>
      </c>
      <c r="H4" s="39" t="str">
        <v>MRR на конец</v>
      </c>
      <c r="I4" s="39" t="str">
        <v>Валовая прибыль</v>
      </c>
      <c r="J4" s="39" t="str">
        <v>Расходы на привлечение</v>
      </c>
      <c r="K4" s="39" t="str">
        <v>Постоянные расходы</v>
      </c>
      <c r="L4" s="39" t="str">
        <v>Операционная прибыль</v>
      </c>
      <c r="M4" s="40" t="str">
        <v>NRR</v>
      </c>
    </row>
    <row r="5">
      <c r="A5" s="2" t="str">
        <v>Месяц 1</v>
      </c>
      <c r="B5" s="111" t="n">
        <f>'Вводные'!B13</f>
        <v>1000</v>
      </c>
      <c r="C5" s="112" t="n">
        <f>'Вводные'!B12</f>
        <v>100</v>
      </c>
      <c r="D5" s="112" t="n">
        <f>B5*'Вводные'!$B$10</f>
        <v>40</v>
      </c>
      <c r="E5" s="112" t="n">
        <f>B5-D5+C5</f>
        <v>1060</v>
      </c>
      <c r="F5" s="100" t="n">
        <f>'Вводные'!B6*(1-'Вводные'!B9)</f>
        <v>39.6</v>
      </c>
      <c r="G5" s="100" t="n">
        <f>B5*F5</f>
        <v>39600</v>
      </c>
      <c r="H5" s="100" t="n">
        <f>G5*(1-'Вводные'!$B$10+'Вводные'!$B$14-'Вводные'!$B$15)+C5*F5</f>
        <v>42372</v>
      </c>
      <c r="I5" s="100" t="n">
        <f>H5*(1-'Вводные'!$B$8)-((B5+E5)/2)*'Вводные'!$B$7</f>
        <v>32860.84</v>
      </c>
      <c r="J5" s="100" t="n">
        <f>C5*('Вводные'!$B$11/'Вводные'!$B$12)</f>
        <v>50000</v>
      </c>
      <c r="K5" s="100" t="n">
        <f>'Вводные'!$B$16</f>
        <v>70000</v>
      </c>
      <c r="L5" s="100" t="n">
        <f>I5-J5-K5</f>
        <v>-87139.16</v>
      </c>
      <c r="M5" s="109" t="n">
        <f>1-'Вводные'!$B$10+'Вводные'!$B$14-'Вводные'!$B$15</f>
        <v>0.97</v>
      </c>
    </row>
    <row r="6">
      <c r="A6" s="2" t="str">
        <v>Месяц 2</v>
      </c>
      <c r="B6" s="111" t="n">
        <f>E5</f>
        <v>1060</v>
      </c>
      <c r="C6" s="112" t="n">
        <f>C5*(1+'Вводные'!$B$17)</f>
        <v>103</v>
      </c>
      <c r="D6" s="112" t="n">
        <f>B6*'Вводные'!$B$10</f>
        <v>42.4</v>
      </c>
      <c r="E6" s="112" t="n">
        <f>B6-D6+C6</f>
        <v>1120.6</v>
      </c>
      <c r="F6" s="100" t="n">
        <f>F5*(1+'Вводные'!$B$18)</f>
        <v>39.6</v>
      </c>
      <c r="G6" s="100" t="n">
        <f>H5</f>
        <v>42372</v>
      </c>
      <c r="H6" s="100" t="n">
        <f>G6*(1-'Вводные'!$B$10+'Вводные'!$B$14-'Вводные'!$B$15)+C6*F6</f>
        <v>45179.64</v>
      </c>
      <c r="I6" s="100" t="n">
        <f>H6*(1-'Вводные'!$B$8)-((B6+E6)/2)*'Вводные'!$B$7</f>
        <v>35101.8508</v>
      </c>
      <c r="J6" s="100" t="n">
        <f>C6*('Вводные'!$B$11/'Вводные'!$B$12)</f>
        <v>51500</v>
      </c>
      <c r="K6" s="100" t="n">
        <f>'Вводные'!$B$16</f>
        <v>70000</v>
      </c>
      <c r="L6" s="100" t="n">
        <f>I6-J6-K6</f>
        <v>-86398.1492</v>
      </c>
      <c r="M6" s="109" t="n">
        <f>1-'Вводные'!$B$10+'Вводные'!$B$14-'Вводные'!$B$15</f>
        <v>0.97</v>
      </c>
    </row>
    <row r="7">
      <c r="A7" s="2" t="str">
        <v>Месяц 3</v>
      </c>
      <c r="B7" s="111" t="n">
        <f>E6</f>
        <v>1120.6</v>
      </c>
      <c r="C7" s="112" t="n">
        <f>C6*(1+'Вводные'!$B$17)</f>
        <v>106.09</v>
      </c>
      <c r="D7" s="112" t="n">
        <f>B7*'Вводные'!$B$10</f>
        <v>44.824</v>
      </c>
      <c r="E7" s="112" t="n">
        <f>B7-D7+C7</f>
        <v>1181.8659999999998</v>
      </c>
      <c r="F7" s="100" t="n">
        <f>F6*(1+'Вводные'!$B$18)</f>
        <v>39.6</v>
      </c>
      <c r="G7" s="100" t="n">
        <f>H6</f>
        <v>45179.64</v>
      </c>
      <c r="H7" s="100" t="n">
        <f>G7*(1-'Вводные'!$B$10+'Вводные'!$B$14-'Вводные'!$B$15)+C7*F7</f>
        <v>48025.4148</v>
      </c>
      <c r="I7" s="100" t="n">
        <f>H7*(1-'Вводные'!$B$8)-((B7+E7)/2)*'Вводные'!$B$7</f>
        <v>37374.788356000005</v>
      </c>
      <c r="J7" s="100" t="n">
        <f>C7*('Вводные'!$B$11/'Вводные'!$B$12)</f>
        <v>53045</v>
      </c>
      <c r="K7" s="100" t="n">
        <f>'Вводные'!$B$16</f>
        <v>70000</v>
      </c>
      <c r="L7" s="100" t="n">
        <f>I7-J7-K7</f>
        <v>-85670.211644</v>
      </c>
      <c r="M7" s="109" t="n">
        <f>1-'Вводные'!$B$10+'Вводные'!$B$14-'Вводные'!$B$15</f>
        <v>0.97</v>
      </c>
    </row>
    <row r="8">
      <c r="A8" s="2" t="str">
        <v>Месяц 4</v>
      </c>
      <c r="B8" s="111" t="n">
        <f>E7</f>
        <v>1181.8659999999998</v>
      </c>
      <c r="C8" s="112" t="n">
        <f>C7*(1+'Вводные'!$B$17)</f>
        <v>109.2727</v>
      </c>
      <c r="D8" s="112" t="n">
        <f>B8*'Вводные'!$B$10</f>
        <v>47.27463999999999</v>
      </c>
      <c r="E8" s="112" t="n">
        <f>B8-D8+C8</f>
        <v>1243.8640599999997</v>
      </c>
      <c r="F8" s="100" t="n">
        <f>F7*(1+'Вводные'!$B$18)</f>
        <v>39.6</v>
      </c>
      <c r="G8" s="100" t="n">
        <f>H7</f>
        <v>48025.4148</v>
      </c>
      <c r="H8" s="100" t="n">
        <f>G8*(1-'Вводные'!$B$10+'Вводные'!$B$14-'Вводные'!$B$15)+C8*F8</f>
        <v>50911.851276</v>
      </c>
      <c r="I8" s="100" t="n">
        <f>H8*(1-'Вводные'!$B$8)-((B8+E8)/2)*'Вводные'!$B$7</f>
        <v>39681.57549772</v>
      </c>
      <c r="J8" s="100" t="n">
        <f>C8*('Вводные'!$B$11/'Вводные'!$B$12)</f>
        <v>54636.35</v>
      </c>
      <c r="K8" s="100" t="n">
        <f>'Вводные'!$B$16</f>
        <v>70000</v>
      </c>
      <c r="L8" s="100" t="n">
        <f>I8-J8-K8</f>
        <v>-84954.77450228</v>
      </c>
      <c r="M8" s="109" t="n">
        <f>1-'Вводные'!$B$10+'Вводные'!$B$14-'Вводные'!$B$15</f>
        <v>0.97</v>
      </c>
    </row>
    <row r="9">
      <c r="A9" s="2" t="str">
        <v>Месяц 5</v>
      </c>
      <c r="B9" s="111" t="n">
        <f>E8</f>
        <v>1243.8640599999997</v>
      </c>
      <c r="C9" s="112" t="n">
        <f>C8*(1+'Вводные'!$B$17)</f>
        <v>112.550881</v>
      </c>
      <c r="D9" s="112" t="n">
        <f>B9*'Вводные'!$B$10</f>
        <v>49.75456239999999</v>
      </c>
      <c r="E9" s="112" t="n">
        <f>B9-D9+C9</f>
        <v>1306.6603785999996</v>
      </c>
      <c r="F9" s="100" t="n">
        <f>F8*(1+'Вводные'!$B$18)</f>
        <v>39.6</v>
      </c>
      <c r="G9" s="100" t="n">
        <f>H8</f>
        <v>50911.851276</v>
      </c>
      <c r="H9" s="100" t="n">
        <f>G9*(1-'Вводные'!$B$10+'Вводные'!$B$14-'Вводные'!$B$15)+C9*F9</f>
        <v>53841.51062532</v>
      </c>
      <c r="I9" s="100" t="n">
        <f>H9*(1-'Вводные'!$B$8)-((B9+E9)/2)*'Вводные'!$B$7</f>
        <v>42024.1675521604</v>
      </c>
      <c r="J9" s="100" t="n">
        <f>C9*('Вводные'!$B$11/'Вводные'!$B$12)</f>
        <v>56275.440500000004</v>
      </c>
      <c r="K9" s="100" t="n">
        <f>'Вводные'!$B$16</f>
        <v>70000</v>
      </c>
      <c r="L9" s="100" t="n">
        <f>I9-J9-K9</f>
        <v>-84251.2729478396</v>
      </c>
      <c r="M9" s="109" t="n">
        <f>1-'Вводные'!$B$10+'Вводные'!$B$14-'Вводные'!$B$15</f>
        <v>0.97</v>
      </c>
    </row>
    <row r="10">
      <c r="A10" s="2" t="str">
        <v>Месяц 6</v>
      </c>
      <c r="B10" s="111" t="n">
        <f>E9</f>
        <v>1306.6603785999996</v>
      </c>
      <c r="C10" s="112" t="n">
        <f>C9*(1+'Вводные'!$B$17)</f>
        <v>115.92740743</v>
      </c>
      <c r="D10" s="112" t="n">
        <f>B10*'Вводные'!$B$10</f>
        <v>52.266415143999986</v>
      </c>
      <c r="E10" s="112" t="n">
        <f>B10-D10+C10</f>
        <v>1370.3213708859996</v>
      </c>
      <c r="F10" s="100" t="n">
        <f>F9*(1+'Вводные'!$B$18)</f>
        <v>39.6</v>
      </c>
      <c r="G10" s="100" t="n">
        <f>H9</f>
        <v>53841.51062532</v>
      </c>
      <c r="H10" s="100" t="n">
        <f>G10*(1-'Вводные'!$B$10+'Вводные'!$B$14-'Вводные'!$B$15)+C10*F10</f>
        <v>56816.9906407884</v>
      </c>
      <c r="I10" s="100" t="n">
        <f>H10*(1-'Вводные'!$B$8)-((B10+E10)/2)*'Вводные'!$B$7</f>
        <v>44404.553923620755</v>
      </c>
      <c r="J10" s="100" t="n">
        <f>C10*('Вводные'!$B$11/'Вводные'!$B$12)</f>
        <v>57963.703715</v>
      </c>
      <c r="K10" s="100" t="n">
        <f>'Вводные'!$B$16</f>
        <v>70000</v>
      </c>
      <c r="L10" s="100" t="n">
        <f>I10-J10-K10</f>
        <v>-83559.14979137926</v>
      </c>
      <c r="M10" s="109" t="n">
        <f>1-'Вводные'!$B$10+'Вводные'!$B$14-'Вводные'!$B$15</f>
        <v>0.97</v>
      </c>
    </row>
    <row r="11">
      <c r="A11" s="2" t="str">
        <v>Месяц 7</v>
      </c>
      <c r="B11" s="111" t="n">
        <f>E10</f>
        <v>1370.3213708859996</v>
      </c>
      <c r="C11" s="112" t="n">
        <f>C10*(1+'Вводные'!$B$17)</f>
        <v>119.4052296529</v>
      </c>
      <c r="D11" s="112" t="n">
        <f>B11*'Вводные'!$B$10</f>
        <v>54.812854835439985</v>
      </c>
      <c r="E11" s="112" t="n">
        <f>B11-D11+C11</f>
        <v>1434.9137457034597</v>
      </c>
      <c r="F11" s="100" t="n">
        <f>F10*(1+'Вводные'!$B$18)</f>
        <v>39.6</v>
      </c>
      <c r="G11" s="100" t="n">
        <f>H10</f>
        <v>56816.9906407884</v>
      </c>
      <c r="H11" s="100" t="n">
        <f>G11*(1-'Вводные'!$B$10+'Вводные'!$B$14-'Вводные'!$B$15)+C11*F11</f>
        <v>59840.92801581959</v>
      </c>
      <c r="I11" s="100" t="n">
        <f>H11*(1-'Вводные'!$B$8)-((B11+E11)/2)*'Вводные'!$B$7</f>
        <v>46824.75970898716</v>
      </c>
      <c r="J11" s="100" t="n">
        <f>C11*('Вводные'!$B$11/'Вводные'!$B$12)</f>
        <v>59702.61482645</v>
      </c>
      <c r="K11" s="100" t="n">
        <f>'Вводные'!$B$16</f>
        <v>70000</v>
      </c>
      <c r="L11" s="100" t="n">
        <f>I11-J11-K11</f>
        <v>-82877.85511746284</v>
      </c>
      <c r="M11" s="109" t="n">
        <f>1-'Вводные'!$B$10+'Вводные'!$B$14-'Вводные'!$B$15</f>
        <v>0.97</v>
      </c>
    </row>
    <row r="12">
      <c r="A12" s="2" t="str">
        <v>Месяц 8</v>
      </c>
      <c r="B12" s="111" t="n">
        <f>E11</f>
        <v>1434.9137457034597</v>
      </c>
      <c r="C12" s="112" t="n">
        <f>C11*(1+'Вводные'!$B$17)</f>
        <v>122.987386542487</v>
      </c>
      <c r="D12" s="112" t="n">
        <f>B12*'Вводные'!$B$10</f>
        <v>57.39654982813839</v>
      </c>
      <c r="E12" s="112" t="n">
        <f>B12-D12+C12</f>
        <v>1500.5045824178083</v>
      </c>
      <c r="F12" s="100" t="n">
        <f>F11*(1+'Вводные'!$B$18)</f>
        <v>39.6</v>
      </c>
      <c r="G12" s="100" t="n">
        <f>H11</f>
        <v>59840.92801581959</v>
      </c>
      <c r="H12" s="100" t="n">
        <f>G12*(1-'Вводные'!$B$10+'Вводные'!$B$14-'Вводные'!$B$15)+C12*F12</f>
        <v>62916.00068242749</v>
      </c>
      <c r="I12" s="100" t="n">
        <f>H12*(1-'Вводные'!$B$8)-((B12+E12)/2)*'Вводные'!$B$7</f>
        <v>49286.84734946959</v>
      </c>
      <c r="J12" s="100" t="n">
        <f>C12*('Вводные'!$B$11/'Вводные'!$B$12)</f>
        <v>61493.6932712435</v>
      </c>
      <c r="K12" s="100" t="n">
        <f>'Вводные'!$B$16</f>
        <v>70000</v>
      </c>
      <c r="L12" s="100" t="n">
        <f>I12-J12-K12</f>
        <v>-82206.8459217739</v>
      </c>
      <c r="M12" s="109" t="n">
        <f>1-'Вводные'!$B$10+'Вводные'!$B$14-'Вводные'!$B$15</f>
        <v>0.97</v>
      </c>
    </row>
    <row r="13">
      <c r="A13" s="2" t="str">
        <v>Месяц 9</v>
      </c>
      <c r="B13" s="111" t="n">
        <f>E12</f>
        <v>1500.5045824178083</v>
      </c>
      <c r="C13" s="112" t="n">
        <f>C12*(1+'Вводные'!$B$17)</f>
        <v>126.67700813876162</v>
      </c>
      <c r="D13" s="112" t="n">
        <f>B13*'Вводные'!$B$10</f>
        <v>60.02018329671233</v>
      </c>
      <c r="E13" s="112" t="n">
        <f>B13-D13+C13</f>
        <v>1567.1614072598577</v>
      </c>
      <c r="F13" s="100" t="n">
        <f>F12*(1+'Вводные'!$B$18)</f>
        <v>39.6</v>
      </c>
      <c r="G13" s="100" t="n">
        <f>H12</f>
        <v>62916.00068242749</v>
      </c>
      <c r="H13" s="100" t="n">
        <f>G13*(1-'Вводные'!$B$10+'Вводные'!$B$14-'Вводные'!$B$15)+C13*F13</f>
        <v>66044.93018424962</v>
      </c>
      <c r="I13" s="100" t="n">
        <f>H13*(1-'Вводные'!$B$8)-((B13+E13)/2)*'Вводные'!$B$7</f>
        <v>51792.91832001147</v>
      </c>
      <c r="J13" s="100" t="n">
        <f>C13*('Вводные'!$B$11/'Вводные'!$B$12)</f>
        <v>63338.50406938081</v>
      </c>
      <c r="K13" s="100" t="n">
        <f>'Вводные'!$B$16</f>
        <v>70000</v>
      </c>
      <c r="L13" s="100" t="n">
        <f>I13-J13-K13</f>
        <v>-81545.58574936935</v>
      </c>
      <c r="M13" s="109" t="n">
        <f>1-'Вводные'!$B$10+'Вводные'!$B$14-'Вводные'!$B$15</f>
        <v>0.97</v>
      </c>
    </row>
    <row r="14">
      <c r="A14" s="2" t="str">
        <v>Месяц 10</v>
      </c>
      <c r="B14" s="111" t="n">
        <f>E13</f>
        <v>1567.1614072598577</v>
      </c>
      <c r="C14" s="112" t="n">
        <f>C13*(1+'Вводные'!$B$17)</f>
        <v>130.47731838292447</v>
      </c>
      <c r="D14" s="112" t="n">
        <f>B14*'Вводные'!$B$10</f>
        <v>62.68645629039431</v>
      </c>
      <c r="E14" s="112" t="n">
        <f>B14-D14+C14</f>
        <v>1634.952269352388</v>
      </c>
      <c r="F14" s="100" t="n">
        <f>F13*(1+'Вводные'!$B$18)</f>
        <v>39.6</v>
      </c>
      <c r="G14" s="100" t="n">
        <f>H13</f>
        <v>66044.93018424962</v>
      </c>
      <c r="H14" s="100" t="n">
        <f>G14*(1-'Вводные'!$B$10+'Вводные'!$B$14-'Вводные'!$B$15)+C14*F14</f>
        <v>69230.48408668594</v>
      </c>
      <c r="I14" s="100" t="n">
        <f>H14*(1-'Вводные'!$B$8)-((B14+E14)/2)*'Вводные'!$B$7</f>
        <v>54345.114857636385</v>
      </c>
      <c r="J14" s="100" t="n">
        <f>C14*('Вводные'!$B$11/'Вводные'!$B$12)</f>
        <v>65238.65919146223</v>
      </c>
      <c r="K14" s="100" t="n">
        <f>'Вводные'!$B$16</f>
        <v>70000</v>
      </c>
      <c r="L14" s="100" t="n">
        <f>I14-J14-K14</f>
        <v>-80893.54433382585</v>
      </c>
      <c r="M14" s="109" t="n">
        <f>1-'Вводные'!$B$10+'Вводные'!$B$14-'Вводные'!$B$15</f>
        <v>0.97</v>
      </c>
    </row>
    <row r="15">
      <c r="A15" s="2" t="str">
        <v>Месяц 11</v>
      </c>
      <c r="B15" s="111" t="n">
        <f>E14</f>
        <v>1634.952269352388</v>
      </c>
      <c r="C15" s="112" t="n">
        <f>C14*(1+'Вводные'!$B$17)</f>
        <v>134.39163793441222</v>
      </c>
      <c r="D15" s="112" t="n">
        <f>B15*'Вводные'!$B$10</f>
        <v>65.39809077409552</v>
      </c>
      <c r="E15" s="112" t="n">
        <f>B15-D15+C15</f>
        <v>1703.9458165127048</v>
      </c>
      <c r="F15" s="100" t="n">
        <f>F14*(1+'Вводные'!$B$18)</f>
        <v>39.6</v>
      </c>
      <c r="G15" s="100" t="n">
        <f>H14</f>
        <v>69230.48408668594</v>
      </c>
      <c r="H15" s="100" t="n">
        <f>G15*(1-'Вводные'!$B$10+'Вводные'!$B$14-'Вводные'!$B$15)+C15*F15</f>
        <v>72475.47842628809</v>
      </c>
      <c r="I15" s="100" t="n">
        <f>H15*(1-'Вводные'!$B$8)-((B15+E15)/2)*'Вводные'!$B$7</f>
        <v>56945.62173003907</v>
      </c>
      <c r="J15" s="100" t="n">
        <f>C15*('Вводные'!$B$11/'Вводные'!$B$12)</f>
        <v>67195.81896720611</v>
      </c>
      <c r="K15" s="100" t="n">
        <f>'Вводные'!$B$16</f>
        <v>70000</v>
      </c>
      <c r="L15" s="100" t="n">
        <f>I15-J15-K15</f>
        <v>-80250.19723716704</v>
      </c>
      <c r="M15" s="109" t="n">
        <f>1-'Вводные'!$B$10+'Вводные'!$B$14-'Вводные'!$B$15</f>
        <v>0.97</v>
      </c>
    </row>
    <row r="16">
      <c r="A16" s="11" t="str">
        <v>Месяц 12</v>
      </c>
      <c r="B16" s="119" t="n">
        <f>E15</f>
        <v>1703.9458165127048</v>
      </c>
      <c r="C16" s="120" t="n">
        <f>C15*(1+'Вводные'!$B$17)</f>
        <v>138.4233870724446</v>
      </c>
      <c r="D16" s="120" t="n">
        <f>B16*'Вводные'!$B$10</f>
        <v>68.15783266050819</v>
      </c>
      <c r="E16" s="120" t="n">
        <f>B16-D16+C16</f>
        <v>1774.2113709246414</v>
      </c>
      <c r="F16" s="126" t="n">
        <f>F15*(1+'Вводные'!$B$18)</f>
        <v>39.6</v>
      </c>
      <c r="G16" s="126" t="n">
        <f>H15</f>
        <v>72475.47842628809</v>
      </c>
      <c r="H16" s="126" t="n">
        <f>G16*(1-'Вводные'!$B$10+'Вводные'!$B$14-'Вводные'!$B$15)+C16*F16</f>
        <v>75782.78020156825</v>
      </c>
      <c r="I16" s="126" t="n">
        <f>H16*(1-'Вводные'!$B$8)-((B16+E16)/2)*'Вводные'!$B$7</f>
        <v>59596.668045771825</v>
      </c>
      <c r="J16" s="126" t="n">
        <f>C16*('Вводные'!$B$11/'Вводные'!$B$12)</f>
        <v>69211.6935362223</v>
      </c>
      <c r="K16" s="126" t="n">
        <f>'Вводные'!$B$16</f>
        <v>70000</v>
      </c>
      <c r="L16" s="126" t="n">
        <f>I16-J16-K16</f>
        <v>-79615.02549045047</v>
      </c>
      <c r="M16" s="127" t="n">
        <f>1-'Вводные'!$B$10+'Вводные'!$B$14-'Вводные'!$B$15</f>
        <v>0.97</v>
      </c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>
      <c r="A18" s="25" t="str">
        <v>Прогноз не заменяет когортную модель: churn считается постоянным, а CAC не меняется при росте. Для бюджета добавьте сезонность, каналы привлечения, годовые планы и кассовый разрыв.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7"/>
    </row>
    <row r="19">
      <c r="A19" s="31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3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</sheetData>
  <mergeCells>
    <mergeCell ref="A1:M1"/>
    <mergeCell ref="A2:M2"/>
    <mergeCell ref="A18:M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4" hidden="0" customWidth="1"/>
    <col min="2" max="2" width="38" hidden="0" customWidth="1"/>
    <col min="3" max="3" width="41" hidden="0" customWidth="1"/>
    <col min="4" max="4" width="43" hidden="0" customWidth="1"/>
  </cols>
  <sheetData>
    <row r="1" ht="36" customHeight="1">
      <c r="A1" s="4" t="str">
        <v>Справка по метрикам SaaS</v>
      </c>
      <c r="B1" s="4"/>
      <c r="C1" s="4"/>
      <c r="D1" s="4"/>
    </row>
    <row r="2" ht="34" customHeight="1">
      <c r="A2" s="7" t="str">
        <v>Определения и ограничения модели</v>
      </c>
      <c r="B2" s="7"/>
      <c r="C2" s="7"/>
      <c r="D2" s="7"/>
    </row>
    <row r="3">
      <c r="A3" s="2"/>
      <c r="B3" s="2"/>
      <c r="C3" s="2"/>
      <c r="D3" s="2"/>
    </row>
    <row r="4">
      <c r="A4" s="38" t="str">
        <v>Метрика</v>
      </c>
      <c r="B4" s="39" t="str">
        <v>Формула</v>
      </c>
      <c r="C4" s="39" t="str">
        <v>Что показывает</v>
      </c>
      <c r="D4" s="40" t="str">
        <v>Ограничение</v>
      </c>
    </row>
    <row r="5" ht="44" customHeight="1">
      <c r="A5" s="2" t="str">
        <v>CAC</v>
      </c>
      <c r="B5" s="128" t="str">
        <v>Продажи и маркетинг / новые клиенты</v>
      </c>
      <c r="C5" s="128" t="str">
        <v>Полная стоимость нового платящего клиента</v>
      </c>
      <c r="D5" s="128" t="str">
        <v>Периоды затрат и клиентов должны совпадать</v>
      </c>
    </row>
    <row r="6" ht="44" customHeight="1">
      <c r="A6" s="2" t="str">
        <v>Logo churn</v>
      </c>
      <c r="B6" s="128" t="str">
        <v>Ушедшие клиенты / клиенты на начало</v>
      </c>
      <c r="C6" s="128" t="str">
        <v>Потерю клиентской базы</v>
      </c>
      <c r="D6" s="128" t="str">
        <v>Не учитывает размер контрактов</v>
      </c>
    </row>
    <row r="7" ht="44" customHeight="1">
      <c r="A7" s="2" t="str">
        <v>Lifetime</v>
      </c>
      <c r="B7" s="128" t="str">
        <v>1 / месячный churn</v>
      </c>
      <c r="C7" s="128" t="str">
        <v>Ожидаемый срок жизни клиента</v>
      </c>
      <c r="D7" s="128" t="str">
        <v>Приближение при стабильном churn</v>
      </c>
    </row>
    <row r="8" ht="44" customHeight="1">
      <c r="A8" s="2" t="str">
        <v>LTV</v>
      </c>
      <c r="B8" s="128" t="str">
        <v>Валовая прибыль клиента / churn</v>
      </c>
      <c r="C8" s="128" t="str">
        <v>Валовую прибыль за срок жизни</v>
      </c>
      <c r="D8" s="128" t="str">
        <v>Для зрелого продукта лучше когортная модель</v>
      </c>
    </row>
    <row r="9" ht="44" customHeight="1">
      <c r="A9" s="2" t="str">
        <v>LTV / CAC</v>
      </c>
      <c r="B9" s="128" t="str">
        <v>LTV / CAC</v>
      </c>
      <c r="C9" s="128" t="str">
        <v>Запас прибыли относительно привлечения</v>
      </c>
      <c r="D9" s="128" t="str">
        <v>3:1 - ориентир, а не универсальная норма</v>
      </c>
    </row>
    <row r="10" ht="44" customHeight="1">
      <c r="A10" s="2" t="str">
        <v>Payback</v>
      </c>
      <c r="B10" s="128" t="str">
        <v>CAC / месячная валовая прибыль</v>
      </c>
      <c r="C10" s="128" t="str">
        <v>Срок возврата стоимости привлечения</v>
      </c>
      <c r="D10" s="128" t="str">
        <v>Не учитывает временную стоимость денег</v>
      </c>
    </row>
    <row r="11" ht="44" customHeight="1">
      <c r="A11" s="2" t="str">
        <v>NRR</v>
      </c>
      <c r="B11" s="128" t="str">
        <v>(Стартовый MRR + expansion - contraction - churn) / стартовый MRR</v>
      </c>
      <c r="C11" s="128" t="str">
        <v>Удержание выручки существующей базы</v>
      </c>
      <c r="D11" s="128" t="str">
        <v>Не включает MRR новых клиентов</v>
      </c>
    </row>
    <row r="12" ht="44" customHeight="1">
      <c r="A12" s="2" t="str">
        <v>Валовая маржа</v>
      </c>
      <c r="B12" s="128" t="str">
        <v>Валовая прибыль / чистый ARPU</v>
      </c>
      <c r="C12" s="128" t="str">
        <v>Долю выручки после COGS</v>
      </c>
      <c r="D12" s="128" t="str">
        <v>Состав COGS должен быть последовательным</v>
      </c>
    </row>
    <row r="13" ht="44" customHeight="1">
      <c r="A13" s="2" t="str">
        <v>Операционная прибыль</v>
      </c>
      <c r="B13" s="128" t="str">
        <v>Валовая прибыль - привлечение - постоянные расходы</v>
      </c>
      <c r="C13" s="128" t="str">
        <v>Результат текущего месяца</v>
      </c>
      <c r="D13" s="128" t="str">
        <v>Не равно денежному потоку</v>
      </c>
    </row>
    <row r="14" ht="44" customHeight="1">
      <c r="A14" s="11" t="str">
        <v>MRR на конец</v>
      </c>
      <c r="B14" s="14" t="str">
        <v>Стартовый MRR - churn + expansion - contraction + new MRR</v>
      </c>
      <c r="C14" s="14" t="str">
        <v>Динамику регулярной выручки</v>
      </c>
      <c r="D14" s="14" t="str">
        <v>Нужна единая политика признания MRR</v>
      </c>
    </row>
    <row r="15">
      <c r="A15" s="2"/>
      <c r="B15" s="2"/>
      <c r="C15" s="2"/>
      <c r="D15" s="2"/>
    </row>
    <row r="16">
      <c r="A16" s="25" t="str">
        <v>Методология собрана по внутреннему альманаху unit-economics-facts.md. В модель не перенесены отраслевые бенчмарки как жесткие нормы: допустимый LTV / CAC и payback зависят от темпа роста, капитала и риска продукта.</v>
      </c>
      <c r="B16" s="26"/>
      <c r="C16" s="26"/>
      <c r="D16" s="27"/>
    </row>
    <row r="17">
      <c r="A17" s="28"/>
      <c r="B17" s="29"/>
      <c r="C17" s="29"/>
      <c r="D17" s="30"/>
    </row>
    <row r="18">
      <c r="A18" s="28"/>
      <c r="B18" s="29"/>
      <c r="C18" s="29"/>
      <c r="D18" s="30"/>
    </row>
    <row r="19">
      <c r="A19" s="31"/>
      <c r="B19" s="32"/>
      <c r="C19" s="32"/>
      <c r="D19" s="33"/>
    </row>
    <row r="20">
      <c r="A20" s="2"/>
      <c r="B20" s="2"/>
      <c r="C20" s="2"/>
      <c r="D20" s="2"/>
    </row>
    <row r="21">
      <c r="A21" s="2"/>
      <c r="B21" s="2"/>
      <c r="C21" s="2"/>
      <c r="D21" s="2"/>
    </row>
    <row r="22">
      <c r="A22" s="2"/>
      <c r="B22" s="2"/>
      <c r="C22" s="2"/>
      <c r="D22" s="2"/>
    </row>
    <row r="23">
      <c r="A23" s="2"/>
      <c r="B23" s="2"/>
      <c r="C23" s="2"/>
      <c r="D23" s="2"/>
    </row>
  </sheetData>
  <mergeCells>
    <mergeCell ref="A1:D1"/>
    <mergeCell ref="A2:D2"/>
    <mergeCell ref="A16:D19"/>
  </mergeCells>
  <pageMargins left="0.7" right="0.7" top="0.75" bottom="0.75" header="0.3" footer="0.3"/>
</worksheet>
</file>